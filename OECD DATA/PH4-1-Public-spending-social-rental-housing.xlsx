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https://portal.oecd.org/eshare/els/pc/Deliverables/Housing/Housing Data Base/Indicators/2023_HDB/PH.4_social_rental_housing/PH4.1/"/>
    </mc:Choice>
  </mc:AlternateContent>
  <xr:revisionPtr revIDLastSave="0" documentId="13_ncr:1_{FADBD13F-8794-425E-BC78-126D4DE16557}" xr6:coauthVersionLast="47" xr6:coauthVersionMax="47" xr10:uidLastSave="{00000000-0000-0000-0000-000000000000}"/>
  <bookViews>
    <workbookView xWindow="-120" yWindow="-120" windowWidth="25440" windowHeight="15270" xr2:uid="{00000000-000D-0000-FFFF-FFFF00000000}"/>
  </bookViews>
  <sheets>
    <sheet name="Figure PH 4.1.1" sheetId="6" r:id="rId1"/>
    <sheet name="Figure PH 4.1.2" sheetId="5" r:id="rId2"/>
    <sheet name="Table PH4.1.A1" sheetId="7" r:id="rId3"/>
  </sheets>
  <externalReferences>
    <externalReference r:id="rId4"/>
  </externalReferences>
  <definedNames>
    <definedName name="_xlnm.Print_Area" localSheetId="0">'Figure PH 4.1.1'!$A$1:$Q$28</definedName>
    <definedName name="_xlnm.Print_Area" localSheetId="1">'Figure PH 4.1.2'!$A$1:$J$20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3" i="7" l="1"/>
  <c r="F13" i="7"/>
  <c r="D20" i="7"/>
  <c r="D19" i="7"/>
  <c r="D18" i="7"/>
  <c r="D17" i="7"/>
  <c r="D14" i="7"/>
  <c r="D13" i="7"/>
  <c r="D12" i="7"/>
  <c r="D5" i="7"/>
  <c r="B20" i="7"/>
  <c r="B19" i="7"/>
  <c r="B18" i="7"/>
  <c r="B17" i="7"/>
  <c r="B14" i="7"/>
  <c r="B13" i="7"/>
  <c r="B12" i="7"/>
  <c r="B11" i="7"/>
  <c r="B10" i="7"/>
  <c r="B8" i="7"/>
  <c r="B7" i="7"/>
  <c r="B6" i="7"/>
  <c r="B5" i="7"/>
  <c r="Q10" i="6" l="1"/>
  <c r="Q7" i="6"/>
  <c r="Q8" i="6"/>
  <c r="Q9" i="6"/>
  <c r="Q11" i="6"/>
  <c r="Q12" i="6"/>
  <c r="Q13" i="6"/>
  <c r="Q14" i="6"/>
  <c r="Q15" i="6"/>
  <c r="Q16" i="6"/>
  <c r="Q17" i="6"/>
  <c r="Q18" i="6"/>
  <c r="Q19" i="6"/>
  <c r="Q20" i="6"/>
  <c r="Q21" i="6"/>
  <c r="Q6" i="6"/>
</calcChain>
</file>

<file path=xl/sharedStrings.xml><?xml version="1.0" encoding="utf-8"?>
<sst xmlns="http://schemas.openxmlformats.org/spreadsheetml/2006/main" count="164" uniqueCount="76">
  <si>
    <t>Figure PH 4.1.2 Recent trends in public spending on supporting social rental housing in selected OECD countries</t>
  </si>
  <si>
    <t>New Zealand</t>
  </si>
  <si>
    <t>Poland</t>
  </si>
  <si>
    <t>Figure PH 4.1.1 Public spending on supporting social rental housing in selected OECD countries</t>
  </si>
  <si>
    <r>
      <rPr>
        <sz val="11"/>
        <color theme="1"/>
        <rFont val="Arial Narrow"/>
        <family val="2"/>
      </rPr>
      <t>Data for Figure PH 4.1.2</t>
    </r>
    <r>
      <rPr>
        <b/>
        <sz val="11"/>
        <color theme="1"/>
        <rFont val="Arial Narrow"/>
        <family val="2"/>
      </rPr>
      <t xml:space="preserve"> Recent trends in public spending on supporting social rental housing in selected OECD countries</t>
    </r>
  </si>
  <si>
    <t>Belgium</t>
  </si>
  <si>
    <t>Denmark</t>
  </si>
  <si>
    <t>Estonia</t>
  </si>
  <si>
    <t>Slovak Republic</t>
  </si>
  <si>
    <t>Regional/state</t>
  </si>
  <si>
    <t>Joint (shared across levels of government)</t>
  </si>
  <si>
    <t>National/federal</t>
  </si>
  <si>
    <r>
      <rPr>
        <sz val="10"/>
        <color rgb="FF000000"/>
        <rFont val="Arial Narrow"/>
        <family val="2"/>
      </rPr>
      <t xml:space="preserve">Data for Figure PH 4.1.1 </t>
    </r>
    <r>
      <rPr>
        <b/>
        <sz val="10"/>
        <color rgb="FF000000"/>
        <rFont val="Arial Narrow"/>
        <family val="2"/>
      </rPr>
      <t>Public spending on supporting social rental housing in selected OECD countries</t>
    </r>
  </si>
  <si>
    <t>2010 or nearest</t>
  </si>
  <si>
    <t>Government spending as percentage of GDP, 2022 or latest year available</t>
  </si>
  <si>
    <t>Portugal</t>
  </si>
  <si>
    <t>Chile</t>
  </si>
  <si>
    <t>Austria</t>
  </si>
  <si>
    <t>Czechia</t>
  </si>
  <si>
    <t>Total</t>
  </si>
  <si>
    <r>
      <rPr>
        <i/>
        <sz val="8"/>
        <color rgb="FF000000"/>
        <rFont val="Arial Narrow"/>
        <family val="2"/>
      </rPr>
      <t>Source:</t>
    </r>
    <r>
      <rPr>
        <sz val="8"/>
        <color rgb="FF000000"/>
        <rFont val="Arial Narrow"/>
        <family val="2"/>
      </rPr>
      <t xml:space="preserve"> OECD Questionnaire on Affordable and Social Housing (QuASH), 2019, 2021, 2023</t>
    </r>
  </si>
  <si>
    <t>Australia</t>
  </si>
  <si>
    <t>United States</t>
  </si>
  <si>
    <t>Finland</t>
  </si>
  <si>
    <t>Public spending on supporting social rental housing in selected OECD countries, % of GDP (2010, 2022)</t>
  </si>
  <si>
    <t>2022 or latest</t>
  </si>
  <si>
    <t>Country</t>
  </si>
  <si>
    <t>Measure #1</t>
  </si>
  <si>
    <t>Measure #2</t>
  </si>
  <si>
    <t>Measure #3</t>
  </si>
  <si>
    <t>Measure #4</t>
  </si>
  <si>
    <t>Income Related Rent Subsidy (IRRS)</t>
  </si>
  <si>
    <t>France</t>
  </si>
  <si>
    <t>Loans and/or loan guarantees to social housing providers</t>
  </si>
  <si>
    <t>Tax credits and/or tax deductions for social housing providers</t>
  </si>
  <si>
    <t>Direct provision of social (subsidised) housing</t>
  </si>
  <si>
    <t>Conditions and procedures for the investment support for the development of municipal housing stock</t>
  </si>
  <si>
    <t>Germany</t>
  </si>
  <si>
    <t>Basic Capital loans</t>
  </si>
  <si>
    <t>Rent at a Fair Price (Arriendo a Precio Justo)</t>
  </si>
  <si>
    <t>Subsidised social rental agencies (SRA)</t>
  </si>
  <si>
    <t>Ireland</t>
  </si>
  <si>
    <t>The Repair and Leasing Scheme</t>
  </si>
  <si>
    <t>Public Housing</t>
  </si>
  <si>
    <t>State owned and managed Indigenous housing (SOMIH)</t>
  </si>
  <si>
    <t/>
  </si>
  <si>
    <t>Indigenous Community Housing</t>
  </si>
  <si>
    <t>Housing Promotion by Federal Provinces</t>
  </si>
  <si>
    <t>Public housing</t>
  </si>
  <si>
    <t>Project-based rental assistance</t>
  </si>
  <si>
    <t>Subsidy in form of loans at advantageous conditions</t>
  </si>
  <si>
    <t>Subsidy in form of grants</t>
  </si>
  <si>
    <t>Subsidies on housing development</t>
  </si>
  <si>
    <t>State Housing Development Fund</t>
  </si>
  <si>
    <t>1st Right - Housing Access Support Program</t>
  </si>
  <si>
    <t>Gateway measure</t>
  </si>
  <si>
    <t>IROP - Social Housing</t>
  </si>
  <si>
    <t>Program of preferential loans with subsidies to interest from the state budget, granted by Bank Gospodarstwa Krajowego for social rental housing (SBC program)</t>
  </si>
  <si>
    <t>Program of non-returnable financing of part of the costs of a housing investment from the Subsidy Fund at Bank Gospodarstwa Krajowego (BSK program)</t>
  </si>
  <si>
    <t xml:space="preserve">Australia </t>
  </si>
  <si>
    <t xml:space="preserve">Austria </t>
  </si>
  <si>
    <t xml:space="preserve">France </t>
  </si>
  <si>
    <t xml:space="preserve">United States </t>
  </si>
  <si>
    <t xml:space="preserve">Germany </t>
  </si>
  <si>
    <t xml:space="preserve">Finland </t>
  </si>
  <si>
    <t xml:space="preserve">Table PH 4.1.A1: Social housing measures with available expenditure data </t>
  </si>
  <si>
    <t>Disclaimer: http://oe.cd/disclaimer</t>
  </si>
  <si>
    <t xml:space="preserve">Please cite this as: OECD (2024), “Indicator PH4.1 Public spending on social rental housing,” OECD Affordable Housing Database, http://oe.cd/ahd. </t>
  </si>
  <si>
    <t>Notes:
1. Data for Australia, Czechia and the United States are based on the fiscal year, rather than the calendar year. GDP is adjusted to reflect this.
2. Data refer to 2022, with the exception of Poland and (2023); Czechia and the United States (FY 2022-2023); Australia (FY 2021-2022); Austria and Germany (2021); New Zealand, Estonia, Denmark, and Belgium (2020), Ireland (2019); France (2018); Finland (2017). 
3. GDP data for Czechia, Poland and the United States are estimated using approximations from the OECD Economic Outlook. 
4. For France, the figure represents spending by national government only, even though other levels of government also contribute to the financing of social housing; these amounts were not available. 
5. The list of measures considered in this indicator are reported in Table PH4.1.A1.</t>
  </si>
  <si>
    <t>Other subsidies</t>
  </si>
  <si>
    <t>Investment subsidies for special-needs groups</t>
  </si>
  <si>
    <t>Notes:
1. Latest data refer to FY 2022-2023 for the United States; 2022 for the Slovak Republic;  FY 2021-2022 for Australia; 2021 for Austria.
2. Data for 2010 or nearest refer to 2010, with the exception of the United States (FY 2009-2010) and Australia (FY 2009-2010).
3. The list of measures considered in this indicator are reported in Table PH4.1.A1.</t>
  </si>
  <si>
    <r>
      <rPr>
        <i/>
        <sz val="9"/>
        <color rgb="FF000000"/>
        <rFont val="Arial Narrow"/>
        <family val="2"/>
      </rPr>
      <t>Source:</t>
    </r>
    <r>
      <rPr>
        <sz val="9"/>
        <color rgb="FF000000"/>
        <rFont val="Arial Narrow"/>
        <family val="2"/>
      </rPr>
      <t xml:space="preserve"> OECD Questionnaire on Affordable and Social Housing (QuASH) 2019, 2021, 2023</t>
    </r>
  </si>
  <si>
    <t>Original Language</t>
  </si>
  <si>
    <t>English</t>
  </si>
  <si>
    <t>IROP - Sociální bydlení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</si>
</sst>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
  </numFmts>
  <fonts count="28" x14ac:knownFonts="1">
    <font>
      <sz val="10"/>
      <color theme="1"/>
      <name val="Arial"/>
      <family val="2"/>
    </font>
    <font>
      <sz val="10"/>
      <color theme="1"/>
      <name val="Arial Narrow"/>
      <family val="2"/>
    </font>
    <font>
      <sz val="10"/>
      <color rgb="FF000000"/>
      <name val="Arial Narrow"/>
      <family val="2"/>
    </font>
    <font>
      <b/>
      <sz val="11"/>
      <color theme="1"/>
      <name val="Arial Narrow"/>
      <family val="2"/>
    </font>
    <font>
      <sz val="9"/>
      <color theme="1"/>
      <name val="Arial Narrow"/>
      <family val="2"/>
    </font>
    <font>
      <sz val="11"/>
      <color theme="1"/>
      <name val="Arial Narrow"/>
      <family val="2"/>
    </font>
    <font>
      <sz val="10"/>
      <color rgb="FF00B050"/>
      <name val="Arial Narrow"/>
      <family val="2"/>
    </font>
    <font>
      <sz val="9"/>
      <color rgb="FF000000"/>
      <name val="Arial Narrow"/>
      <family val="2"/>
    </font>
    <font>
      <sz val="10"/>
      <name val="Arial Narrow"/>
      <family val="2"/>
    </font>
    <font>
      <sz val="10"/>
      <color theme="1"/>
      <name val="Arial"/>
      <family val="2"/>
    </font>
    <font>
      <sz val="10"/>
      <color theme="0"/>
      <name val="Arial"/>
      <family val="2"/>
    </font>
    <font>
      <b/>
      <sz val="11"/>
      <color rgb="FF000000"/>
      <name val="Arial Narrow"/>
      <family val="2"/>
    </font>
    <font>
      <b/>
      <sz val="10"/>
      <color rgb="FF000000"/>
      <name val="Arial Narrow"/>
      <family val="2"/>
    </font>
    <font>
      <i/>
      <sz val="9"/>
      <color rgb="FF000000"/>
      <name val="Arial Narrow"/>
      <family val="2"/>
    </font>
    <font>
      <sz val="8"/>
      <color rgb="FF000000"/>
      <name val="Arial Narrow"/>
      <family val="2"/>
    </font>
    <font>
      <i/>
      <sz val="8"/>
      <color rgb="FF000000"/>
      <name val="Arial Narrow"/>
      <family val="2"/>
    </font>
    <font>
      <sz val="10"/>
      <name val="Arial"/>
      <family val="2"/>
    </font>
    <font>
      <b/>
      <sz val="12"/>
      <color rgb="FF4E81BD"/>
      <name val="Arial Narrow"/>
      <family val="2"/>
    </font>
    <font>
      <b/>
      <sz val="8.5"/>
      <name val="Arial Narrow"/>
      <family val="2"/>
    </font>
    <font>
      <sz val="8.5"/>
      <color rgb="FF000000"/>
      <name val="Arial Narrow"/>
      <family val="2"/>
    </font>
    <font>
      <sz val="8"/>
      <color rgb="FFFF0000"/>
      <name val="Arial Narrow"/>
      <family val="2"/>
    </font>
    <font>
      <u/>
      <sz val="10"/>
      <color theme="10"/>
      <name val="Arial"/>
      <family val="2"/>
    </font>
    <font>
      <sz val="10"/>
      <color rgb="FFFF0000"/>
      <name val="Arial Narrow"/>
      <family val="2"/>
    </font>
    <font>
      <sz val="10"/>
      <color rgb="FFFF0000"/>
      <name val="Arial"/>
      <family val="2"/>
    </font>
    <font>
      <u/>
      <sz val="8"/>
      <color theme="10"/>
      <name val="Arial Narrow"/>
      <family val="2"/>
    </font>
    <font>
      <sz val="8"/>
      <name val="Arial Narrow"/>
      <family val="2"/>
    </font>
    <font>
      <sz val="9"/>
      <name val="Arial Narrow"/>
      <family val="2"/>
    </font>
    <font>
      <b/>
      <sz val="8.5"/>
      <color rgb="FF000000"/>
      <name val="Arial Narrow"/>
      <family val="2"/>
    </font>
  </fonts>
  <fills count="4">
    <fill>
      <patternFill patternType="none"/>
    </fill>
    <fill>
      <patternFill patternType="gray125"/>
    </fill>
    <fill>
      <patternFill patternType="solid">
        <fgColor theme="4" tint="0.79998168889431442"/>
        <bgColor indexed="64"/>
      </patternFill>
    </fill>
    <fill>
      <patternFill patternType="solid">
        <fgColor theme="0"/>
        <bgColor indexed="64"/>
      </patternFill>
    </fill>
  </fills>
  <borders count="11">
    <border>
      <left/>
      <right/>
      <top/>
      <bottom/>
      <diagonal/>
    </border>
    <border>
      <left/>
      <right style="medium">
        <color rgb="FFBFBFBF"/>
      </right>
      <top/>
      <bottom style="medium">
        <color rgb="FFBFBFBF"/>
      </bottom>
      <diagonal/>
    </border>
    <border>
      <left/>
      <right/>
      <top/>
      <bottom style="thick">
        <color theme="4"/>
      </bottom>
      <diagonal/>
    </border>
    <border>
      <left/>
      <right style="medium">
        <color rgb="FFBFBFBF"/>
      </right>
      <top style="thick">
        <color rgb="FF4E81BD"/>
      </top>
      <bottom/>
      <diagonal/>
    </border>
    <border>
      <left style="medium">
        <color rgb="FFBFBFBF"/>
      </left>
      <right/>
      <top style="thick">
        <color rgb="FF4E81BD"/>
      </top>
      <bottom/>
      <diagonal/>
    </border>
    <border>
      <left/>
      <right style="medium">
        <color theme="0" tint="-0.249977111117893"/>
      </right>
      <top style="thick">
        <color theme="4"/>
      </top>
      <bottom/>
      <diagonal/>
    </border>
    <border>
      <left style="medium">
        <color theme="0" tint="-0.249977111117893"/>
      </left>
      <right/>
      <top style="thick">
        <color rgb="FF4E81BD"/>
      </top>
      <bottom/>
      <diagonal/>
    </border>
    <border>
      <left/>
      <right style="medium">
        <color rgb="FFBFBFBF"/>
      </right>
      <top style="medium">
        <color theme="4"/>
      </top>
      <bottom style="medium">
        <color rgb="FFBFBFBF"/>
      </bottom>
      <diagonal/>
    </border>
    <border>
      <left/>
      <right style="medium">
        <color theme="0" tint="-0.249977111117893"/>
      </right>
      <top/>
      <bottom/>
      <diagonal/>
    </border>
    <border>
      <left style="medium">
        <color theme="0" tint="-0.249977111117893"/>
      </left>
      <right style="medium">
        <color rgb="FFBFBFBF"/>
      </right>
      <top/>
      <bottom style="medium">
        <color theme="4"/>
      </bottom>
      <diagonal/>
    </border>
    <border>
      <left/>
      <right style="medium">
        <color rgb="FFBFBFBF"/>
      </right>
      <top/>
      <bottom style="medium">
        <color theme="4"/>
      </bottom>
      <diagonal/>
    </border>
  </borders>
  <cellStyleXfs count="3">
    <xf numFmtId="0" fontId="0" fillId="0" borderId="0"/>
    <xf numFmtId="9" fontId="9" fillId="0" borderId="0" applyFont="0" applyFill="0" applyBorder="0" applyAlignment="0" applyProtection="0"/>
    <xf numFmtId="0" fontId="21" fillId="0" borderId="0" applyNumberFormat="0" applyFill="0" applyBorder="0" applyAlignment="0" applyProtection="0"/>
  </cellStyleXfs>
  <cellXfs count="76">
    <xf numFmtId="0" fontId="0" fillId="0" borderId="0" xfId="0"/>
    <xf numFmtId="0" fontId="2" fillId="0" borderId="0" xfId="0" applyFont="1"/>
    <xf numFmtId="0" fontId="1" fillId="0" borderId="0" xfId="0" applyFont="1"/>
    <xf numFmtId="0" fontId="0" fillId="0" borderId="0" xfId="0"/>
    <xf numFmtId="10" fontId="1" fillId="0" borderId="0" xfId="0" applyNumberFormat="1" applyFont="1" applyAlignment="1">
      <alignment horizontal="center"/>
    </xf>
    <xf numFmtId="10" fontId="1" fillId="2" borderId="0" xfId="0" applyNumberFormat="1" applyFont="1" applyFill="1" applyAlignment="1">
      <alignment horizontal="center"/>
    </xf>
    <xf numFmtId="0" fontId="1" fillId="0" borderId="0" xfId="0" applyFont="1" applyAlignment="1">
      <alignment horizontal="left"/>
    </xf>
    <xf numFmtId="0" fontId="1" fillId="2" borderId="0" xfId="0" applyFont="1" applyFill="1" applyAlignment="1">
      <alignment horizontal="left"/>
    </xf>
    <xf numFmtId="0" fontId="0" fillId="3" borderId="0" xfId="0" applyFill="1"/>
    <xf numFmtId="0" fontId="6" fillId="0" borderId="0" xfId="0" applyFont="1"/>
    <xf numFmtId="10" fontId="6" fillId="0" borderId="0" xfId="0" applyNumberFormat="1" applyFont="1" applyAlignment="1">
      <alignment horizontal="center"/>
    </xf>
    <xf numFmtId="164" fontId="6" fillId="0" borderId="0" xfId="0" applyNumberFormat="1" applyFont="1" applyAlignment="1">
      <alignment horizontal="center"/>
    </xf>
    <xf numFmtId="165" fontId="1" fillId="0" borderId="0" xfId="0" applyNumberFormat="1" applyFont="1"/>
    <xf numFmtId="0" fontId="1" fillId="3" borderId="0" xfId="0" applyFont="1" applyFill="1" applyAlignment="1">
      <alignment horizontal="left"/>
    </xf>
    <xf numFmtId="10" fontId="1" fillId="3" borderId="0" xfId="0" applyNumberFormat="1" applyFont="1" applyFill="1" applyAlignment="1">
      <alignment horizontal="center"/>
    </xf>
    <xf numFmtId="0" fontId="8" fillId="0" borderId="0" xfId="0" applyFont="1"/>
    <xf numFmtId="10" fontId="8" fillId="0" borderId="0" xfId="0" applyNumberFormat="1" applyFont="1"/>
    <xf numFmtId="1" fontId="1" fillId="3" borderId="0" xfId="0" applyNumberFormat="1" applyFont="1" applyFill="1" applyAlignment="1">
      <alignment horizontal="center"/>
    </xf>
    <xf numFmtId="0" fontId="7" fillId="0" borderId="0" xfId="0" applyFont="1" applyAlignment="1">
      <alignment wrapText="1"/>
    </xf>
    <xf numFmtId="0" fontId="2" fillId="0" borderId="0" xfId="0" applyFont="1" applyAlignment="1">
      <alignment vertical="center"/>
    </xf>
    <xf numFmtId="0" fontId="2" fillId="2" borderId="0" xfId="0" applyFont="1" applyFill="1"/>
    <xf numFmtId="0" fontId="7" fillId="0" borderId="0" xfId="0" applyFont="1" applyAlignment="1"/>
    <xf numFmtId="10" fontId="10" fillId="0" borderId="0" xfId="0" applyNumberFormat="1" applyFont="1"/>
    <xf numFmtId="0" fontId="10" fillId="0" borderId="0" xfId="0" applyFont="1"/>
    <xf numFmtId="0" fontId="0" fillId="0" borderId="0" xfId="0" applyAlignment="1"/>
    <xf numFmtId="0" fontId="7" fillId="0" borderId="0" xfId="0" applyFont="1" applyAlignment="1">
      <alignment vertical="top" wrapText="1"/>
    </xf>
    <xf numFmtId="0" fontId="14" fillId="0" borderId="0" xfId="0" applyFont="1" applyAlignment="1"/>
    <xf numFmtId="0" fontId="14" fillId="0" borderId="0" xfId="0" applyFont="1" applyAlignment="1">
      <alignment vertical="top" wrapText="1"/>
    </xf>
    <xf numFmtId="0" fontId="14" fillId="0" borderId="0" xfId="0" applyFont="1"/>
    <xf numFmtId="0" fontId="1" fillId="0" borderId="0" xfId="0" applyFont="1" applyFill="1"/>
    <xf numFmtId="0" fontId="0" fillId="0" borderId="0" xfId="0" applyFill="1"/>
    <xf numFmtId="0" fontId="2" fillId="0" borderId="0" xfId="0" applyFont="1" applyFill="1" applyAlignment="1">
      <alignment horizontal="right"/>
    </xf>
    <xf numFmtId="0" fontId="2" fillId="0" borderId="0" xfId="0" applyFont="1" applyFill="1"/>
    <xf numFmtId="0" fontId="1" fillId="0" borderId="0" xfId="0" applyFont="1" applyFill="1" applyAlignment="1">
      <alignment horizontal="right"/>
    </xf>
    <xf numFmtId="0" fontId="8" fillId="0" borderId="0" xfId="0" applyFont="1" applyFill="1" applyAlignment="1">
      <alignment horizontal="right"/>
    </xf>
    <xf numFmtId="0" fontId="8" fillId="0" borderId="0" xfId="0" applyFont="1" applyFill="1"/>
    <xf numFmtId="0" fontId="16" fillId="0" borderId="0" xfId="0" applyFont="1"/>
    <xf numFmtId="0" fontId="10" fillId="0" borderId="0" xfId="0" applyFont="1" applyFill="1"/>
    <xf numFmtId="0" fontId="14" fillId="0" borderId="0" xfId="0" applyFont="1" applyAlignment="1">
      <alignment horizontal="left" vertical="top" wrapText="1"/>
    </xf>
    <xf numFmtId="0" fontId="16" fillId="0" borderId="0" xfId="0" applyFont="1" applyFill="1"/>
    <xf numFmtId="10" fontId="16" fillId="0" borderId="0" xfId="0" applyNumberFormat="1" applyFont="1" applyFill="1"/>
    <xf numFmtId="10" fontId="2" fillId="2" borderId="0" xfId="1" applyNumberFormat="1" applyFont="1" applyFill="1"/>
    <xf numFmtId="10" fontId="2" fillId="0" borderId="0" xfId="1" applyNumberFormat="1" applyFont="1"/>
    <xf numFmtId="0" fontId="17" fillId="3" borderId="0" xfId="0" applyFont="1" applyFill="1" applyAlignment="1">
      <alignment vertical="center"/>
    </xf>
    <xf numFmtId="0" fontId="20" fillId="0" borderId="0" xfId="0" applyFont="1" applyAlignment="1">
      <alignment horizontal="left" vertical="top" wrapText="1"/>
    </xf>
    <xf numFmtId="0" fontId="22" fillId="0" borderId="0" xfId="0" applyFont="1"/>
    <xf numFmtId="10" fontId="22" fillId="0" borderId="0" xfId="0" applyNumberFormat="1" applyFont="1"/>
    <xf numFmtId="0" fontId="22" fillId="0" borderId="0" xfId="0" applyFont="1" applyFill="1" applyAlignment="1">
      <alignment horizontal="right"/>
    </xf>
    <xf numFmtId="0" fontId="22" fillId="0" borderId="0" xfId="0" applyFont="1" applyFill="1"/>
    <xf numFmtId="0" fontId="23" fillId="0" borderId="0" xfId="0" applyFont="1" applyFill="1"/>
    <xf numFmtId="0" fontId="23" fillId="0" borderId="0" xfId="0" applyFont="1"/>
    <xf numFmtId="0" fontId="24" fillId="3" borderId="0" xfId="2" applyFont="1" applyFill="1"/>
    <xf numFmtId="0" fontId="0" fillId="3" borderId="0" xfId="0" applyFill="1" applyAlignment="1"/>
    <xf numFmtId="0" fontId="7" fillId="3" borderId="0" xfId="0" applyFont="1" applyFill="1" applyAlignment="1">
      <alignment wrapText="1"/>
    </xf>
    <xf numFmtId="0" fontId="19" fillId="3" borderId="1" xfId="0" applyFont="1" applyFill="1" applyBorder="1" applyAlignment="1">
      <alignment horizontal="left" vertical="center" wrapText="1"/>
    </xf>
    <xf numFmtId="0" fontId="19" fillId="3" borderId="1" xfId="0" applyFont="1" applyFill="1" applyBorder="1" applyAlignment="1">
      <alignment vertical="center" wrapText="1"/>
    </xf>
    <xf numFmtId="0" fontId="0" fillId="3" borderId="2" xfId="0" applyFill="1" applyBorder="1"/>
    <xf numFmtId="0" fontId="18" fillId="0" borderId="5" xfId="0" applyFont="1" applyBorder="1" applyAlignment="1">
      <alignment horizontal="center" vertical="center" wrapText="1"/>
    </xf>
    <xf numFmtId="0" fontId="19" fillId="3" borderId="8" xfId="0" applyFont="1" applyFill="1" applyBorder="1" applyAlignment="1">
      <alignment horizontal="left" vertical="center" wrapText="1"/>
    </xf>
    <xf numFmtId="0" fontId="19" fillId="3" borderId="7" xfId="0" applyFont="1" applyFill="1" applyBorder="1" applyAlignment="1">
      <alignment horizontal="left" vertical="center" wrapText="1"/>
    </xf>
    <xf numFmtId="0" fontId="27" fillId="0" borderId="9" xfId="0" applyFont="1" applyBorder="1" applyAlignment="1">
      <alignment horizontal="center" vertical="center" wrapText="1"/>
    </xf>
    <xf numFmtId="0" fontId="27" fillId="0" borderId="10" xfId="0" applyFont="1" applyBorder="1" applyAlignment="1">
      <alignment horizontal="center" vertical="center" wrapText="1"/>
    </xf>
    <xf numFmtId="0" fontId="25" fillId="0" borderId="0" xfId="0" applyFont="1" applyAlignment="1">
      <alignment wrapText="1"/>
    </xf>
    <xf numFmtId="0" fontId="2" fillId="0" borderId="0" xfId="0" applyFont="1" applyAlignment="1">
      <alignment horizontal="center" vertical="center" wrapText="1"/>
    </xf>
    <xf numFmtId="0" fontId="12" fillId="0" borderId="0" xfId="0" applyFont="1" applyAlignment="1">
      <alignment horizontal="center" vertical="center" wrapText="1"/>
    </xf>
    <xf numFmtId="0" fontId="11" fillId="0" borderId="0" xfId="0" applyFont="1" applyAlignment="1">
      <alignment horizontal="center" vertical="center" wrapText="1"/>
    </xf>
    <xf numFmtId="0" fontId="7" fillId="0" borderId="0" xfId="0" applyFont="1" applyAlignment="1">
      <alignment horizontal="center" vertical="center" wrapText="1"/>
    </xf>
    <xf numFmtId="0" fontId="25" fillId="0" borderId="0" xfId="0" applyFont="1" applyAlignment="1">
      <alignment horizontal="left" vertical="top" wrapText="1"/>
    </xf>
    <xf numFmtId="0" fontId="3" fillId="0" borderId="0" xfId="0" applyFont="1" applyAlignment="1">
      <alignment horizontal="center" vertical="center" wrapText="1"/>
    </xf>
    <xf numFmtId="0" fontId="0" fillId="0" borderId="0" xfId="0" applyAlignment="1">
      <alignment horizontal="center" vertical="center" wrapText="1"/>
    </xf>
    <xf numFmtId="0" fontId="4" fillId="0" borderId="0" xfId="0" applyFont="1" applyAlignment="1">
      <alignment horizontal="center" vertical="center" wrapText="1"/>
    </xf>
    <xf numFmtId="0" fontId="26" fillId="0" borderId="0" xfId="0" applyFont="1" applyAlignment="1">
      <alignment horizontal="left" vertical="top" wrapText="1"/>
    </xf>
    <xf numFmtId="0" fontId="25" fillId="3" borderId="0" xfId="0" applyFont="1" applyFill="1" applyAlignment="1">
      <alignment wrapText="1"/>
    </xf>
    <xf numFmtId="0" fontId="18" fillId="0" borderId="6" xfId="0" applyFont="1" applyBorder="1" applyAlignment="1">
      <alignment horizontal="center" vertical="center" wrapText="1"/>
    </xf>
    <xf numFmtId="0" fontId="18" fillId="0" borderId="3" xfId="0" applyFont="1" applyBorder="1" applyAlignment="1">
      <alignment horizontal="center" vertical="center" wrapText="1"/>
    </xf>
    <xf numFmtId="0" fontId="18" fillId="0" borderId="4" xfId="0" applyFont="1" applyBorder="1" applyAlignment="1">
      <alignment horizontal="center" vertical="center" wrapText="1"/>
    </xf>
  </cellXfs>
  <cellStyles count="3">
    <cellStyle name="Hyperlink" xfId="2" builtinId="8"/>
    <cellStyle name="Normal" xfId="0" builtinId="0"/>
    <cellStyle name="Percent" xfId="1" builtinId="5"/>
  </cellStyles>
  <dxfs count="0"/>
  <tableStyles count="0" defaultTableStyle="TableStyleMedium2" defaultPivotStyle="PivotStyleLight16"/>
  <colors>
    <mruColors>
      <color rgb="FF7FA8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13" Type="http://schemas.openxmlformats.org/officeDocument/2006/relationships/customXml" Target="../customXml/item5.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8.7445796086387494E-3"/>
          <c:y val="0.13285764016894772"/>
          <c:w val="0.98906927548920154"/>
          <c:h val="0.85718195830922828"/>
        </c:manualLayout>
      </c:layout>
      <c:barChart>
        <c:barDir val="col"/>
        <c:grouping val="stacked"/>
        <c:varyColors val="0"/>
        <c:ser>
          <c:idx val="0"/>
          <c:order val="0"/>
          <c:tx>
            <c:strRef>
              <c:f>'Figure PH 4.1.1'!$N$5</c:f>
              <c:strCache>
                <c:ptCount val="1"/>
                <c:pt idx="0">
                  <c:v>National/federal</c:v>
                </c:pt>
              </c:strCache>
            </c:strRef>
          </c:tx>
          <c:spPr>
            <a:solidFill>
              <a:srgbClr val="002F6C"/>
            </a:solidFill>
            <a:ln>
              <a:noFill/>
            </a:ln>
            <a:effectLst/>
            <a:extLst>
              <a:ext uri="{91240B29-F687-4F45-9708-019B960494DF}">
                <a14:hiddenLine xmlns:a14="http://schemas.microsoft.com/office/drawing/2010/main">
                  <a:noFill/>
                </a14:hiddenLine>
              </a:ext>
            </a:extLst>
          </c:spPr>
          <c:invertIfNegative val="0"/>
          <c:cat>
            <c:strRef>
              <c:f>'Figure PH 4.1.1'!$M$6:$M$21</c:f>
              <c:strCache>
                <c:ptCount val="16"/>
                <c:pt idx="0">
                  <c:v>New Zealand</c:v>
                </c:pt>
                <c:pt idx="1">
                  <c:v>Australia </c:v>
                </c:pt>
                <c:pt idx="2">
                  <c:v>Austria </c:v>
                </c:pt>
                <c:pt idx="3">
                  <c:v>France </c:v>
                </c:pt>
                <c:pt idx="4">
                  <c:v>United States </c:v>
                </c:pt>
                <c:pt idx="5">
                  <c:v>Estonia</c:v>
                </c:pt>
                <c:pt idx="6">
                  <c:v>Germany </c:v>
                </c:pt>
                <c:pt idx="7">
                  <c:v>Finland </c:v>
                </c:pt>
                <c:pt idx="8">
                  <c:v>Poland</c:v>
                </c:pt>
                <c:pt idx="9">
                  <c:v>Slovak Republic</c:v>
                </c:pt>
                <c:pt idx="10">
                  <c:v>Denmark</c:v>
                </c:pt>
                <c:pt idx="11">
                  <c:v>Portugal</c:v>
                </c:pt>
                <c:pt idx="12">
                  <c:v>Chile</c:v>
                </c:pt>
                <c:pt idx="13">
                  <c:v>Belgium</c:v>
                </c:pt>
                <c:pt idx="14">
                  <c:v>Ireland</c:v>
                </c:pt>
                <c:pt idx="15">
                  <c:v>Czechia</c:v>
                </c:pt>
              </c:strCache>
            </c:strRef>
          </c:cat>
          <c:val>
            <c:numRef>
              <c:f>'Figure PH 4.1.1'!$N$6:$N$21</c:f>
              <c:numCache>
                <c:formatCode>0.00%</c:formatCode>
                <c:ptCount val="16"/>
                <c:pt idx="0">
                  <c:v>3.4738822419113501E-3</c:v>
                </c:pt>
                <c:pt idx="1">
                  <c:v>0</c:v>
                </c:pt>
                <c:pt idx="2">
                  <c:v>0</c:v>
                </c:pt>
                <c:pt idx="3">
                  <c:v>0</c:v>
                </c:pt>
                <c:pt idx="4">
                  <c:v>0</c:v>
                </c:pt>
                <c:pt idx="5">
                  <c:v>7.7401769649956364E-4</c:v>
                </c:pt>
                <c:pt idx="6">
                  <c:v>0</c:v>
                </c:pt>
                <c:pt idx="7">
                  <c:v>4.8607827627805445E-4</c:v>
                </c:pt>
                <c:pt idx="8">
                  <c:v>4.8154277181969307E-4</c:v>
                </c:pt>
                <c:pt idx="9">
                  <c:v>3.5009991866127014E-4</c:v>
                </c:pt>
                <c:pt idx="10">
                  <c:v>0</c:v>
                </c:pt>
                <c:pt idx="11">
                  <c:v>2.0284417270519079E-4</c:v>
                </c:pt>
                <c:pt idx="12">
                  <c:v>0</c:v>
                </c:pt>
                <c:pt idx="13">
                  <c:v>0</c:v>
                </c:pt>
                <c:pt idx="14">
                  <c:v>0</c:v>
                </c:pt>
                <c:pt idx="15">
                  <c:v>2.158179451673592E-6</c:v>
                </c:pt>
              </c:numCache>
            </c:numRef>
          </c:val>
          <c:extLst>
            <c:ext xmlns:c16="http://schemas.microsoft.com/office/drawing/2014/chart" uri="{C3380CC4-5D6E-409C-BE32-E72D297353CC}">
              <c16:uniqueId val="{00000000-1055-49D5-97BF-C95E4F659CE4}"/>
            </c:ext>
          </c:extLst>
        </c:ser>
        <c:ser>
          <c:idx val="1"/>
          <c:order val="1"/>
          <c:tx>
            <c:strRef>
              <c:f>'Figure PH 4.1.1'!$O$5</c:f>
              <c:strCache>
                <c:ptCount val="1"/>
                <c:pt idx="0">
                  <c:v>Regional/state</c:v>
                </c:pt>
              </c:strCache>
            </c:strRef>
          </c:tx>
          <c:spPr>
            <a:solidFill>
              <a:srgbClr val="7FA8D9"/>
            </a:solidFill>
            <a:ln>
              <a:noFill/>
            </a:ln>
            <a:effectLst/>
            <a:extLst>
              <a:ext uri="{91240B29-F687-4F45-9708-019B960494DF}">
                <a14:hiddenLine xmlns:a14="http://schemas.microsoft.com/office/drawing/2010/main">
                  <a:noFill/>
                </a14:hiddenLine>
              </a:ext>
            </a:extLst>
          </c:spPr>
          <c:invertIfNegative val="0"/>
          <c:cat>
            <c:strRef>
              <c:f>'Figure PH 4.1.1'!$M$6:$M$21</c:f>
              <c:strCache>
                <c:ptCount val="16"/>
                <c:pt idx="0">
                  <c:v>New Zealand</c:v>
                </c:pt>
                <c:pt idx="1">
                  <c:v>Australia </c:v>
                </c:pt>
                <c:pt idx="2">
                  <c:v>Austria </c:v>
                </c:pt>
                <c:pt idx="3">
                  <c:v>France </c:v>
                </c:pt>
                <c:pt idx="4">
                  <c:v>United States </c:v>
                </c:pt>
                <c:pt idx="5">
                  <c:v>Estonia</c:v>
                </c:pt>
                <c:pt idx="6">
                  <c:v>Germany </c:v>
                </c:pt>
                <c:pt idx="7">
                  <c:v>Finland </c:v>
                </c:pt>
                <c:pt idx="8">
                  <c:v>Poland</c:v>
                </c:pt>
                <c:pt idx="9">
                  <c:v>Slovak Republic</c:v>
                </c:pt>
                <c:pt idx="10">
                  <c:v>Denmark</c:v>
                </c:pt>
                <c:pt idx="11">
                  <c:v>Portugal</c:v>
                </c:pt>
                <c:pt idx="12">
                  <c:v>Chile</c:v>
                </c:pt>
                <c:pt idx="13">
                  <c:v>Belgium</c:v>
                </c:pt>
                <c:pt idx="14">
                  <c:v>Ireland</c:v>
                </c:pt>
                <c:pt idx="15">
                  <c:v>Czechia</c:v>
                </c:pt>
              </c:strCache>
            </c:strRef>
          </c:cat>
          <c:val>
            <c:numRef>
              <c:f>'Figure PH 4.1.1'!$O$6:$O$21</c:f>
              <c:numCache>
                <c:formatCode>0.00%</c:formatCode>
                <c:ptCount val="16"/>
                <c:pt idx="0">
                  <c:v>0</c:v>
                </c:pt>
                <c:pt idx="1">
                  <c:v>2.4839159627569928E-3</c:v>
                </c:pt>
                <c:pt idx="2">
                  <c:v>2.0728384576285414E-3</c:v>
                </c:pt>
                <c:pt idx="3">
                  <c:v>1.9665467143656448E-3</c:v>
                </c:pt>
                <c:pt idx="4">
                  <c:v>0</c:v>
                </c:pt>
                <c:pt idx="5">
                  <c:v>0</c:v>
                </c:pt>
                <c:pt idx="6">
                  <c:v>7.2150271600160334E-4</c:v>
                </c:pt>
                <c:pt idx="7">
                  <c:v>0</c:v>
                </c:pt>
                <c:pt idx="8">
                  <c:v>0</c:v>
                </c:pt>
                <c:pt idx="9">
                  <c:v>0</c:v>
                </c:pt>
                <c:pt idx="10">
                  <c:v>0</c:v>
                </c:pt>
                <c:pt idx="11">
                  <c:v>0</c:v>
                </c:pt>
                <c:pt idx="12">
                  <c:v>0</c:v>
                </c:pt>
                <c:pt idx="13">
                  <c:v>0</c:v>
                </c:pt>
                <c:pt idx="14">
                  <c:v>5.1016702213103546E-6</c:v>
                </c:pt>
                <c:pt idx="15">
                  <c:v>0</c:v>
                </c:pt>
              </c:numCache>
            </c:numRef>
          </c:val>
          <c:extLst>
            <c:ext xmlns:c16="http://schemas.microsoft.com/office/drawing/2014/chart" uri="{C3380CC4-5D6E-409C-BE32-E72D297353CC}">
              <c16:uniqueId val="{00000001-1055-49D5-97BF-C95E4F659CE4}"/>
            </c:ext>
          </c:extLst>
        </c:ser>
        <c:ser>
          <c:idx val="2"/>
          <c:order val="2"/>
          <c:tx>
            <c:strRef>
              <c:f>'Figure PH 4.1.1'!$P$5</c:f>
              <c:strCache>
                <c:ptCount val="1"/>
                <c:pt idx="0">
                  <c:v>Joint (shared across levels of government)</c:v>
                </c:pt>
              </c:strCache>
            </c:strRef>
          </c:tx>
          <c:spPr>
            <a:solidFill>
              <a:srgbClr val="00AACC"/>
            </a:solidFill>
            <a:ln>
              <a:noFill/>
            </a:ln>
            <a:effectLst/>
            <a:extLst>
              <a:ext uri="{91240B29-F687-4F45-9708-019B960494DF}">
                <a14:hiddenLine xmlns:a14="http://schemas.microsoft.com/office/drawing/2010/main">
                  <a:noFill/>
                </a14:hiddenLine>
              </a:ext>
            </a:extLst>
          </c:spPr>
          <c:invertIfNegative val="0"/>
          <c:dPt>
            <c:idx val="2"/>
            <c:invertIfNegative val="0"/>
            <c:bubble3D val="0"/>
            <c:spPr>
              <a:solidFill>
                <a:srgbClr val="7FA8D9"/>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1-95B5-4666-964F-1EA06DB299EF}"/>
              </c:ext>
            </c:extLst>
          </c:dPt>
          <c:dPt>
            <c:idx val="10"/>
            <c:invertIfNegative val="0"/>
            <c:bubble3D val="0"/>
            <c:spPr>
              <a:solidFill>
                <a:schemeClr val="tx2"/>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0-95B5-4666-964F-1EA06DB299EF}"/>
              </c:ext>
            </c:extLst>
          </c:dPt>
          <c:cat>
            <c:strRef>
              <c:f>'Figure PH 4.1.1'!$M$6:$M$21</c:f>
              <c:strCache>
                <c:ptCount val="16"/>
                <c:pt idx="0">
                  <c:v>New Zealand</c:v>
                </c:pt>
                <c:pt idx="1">
                  <c:v>Australia </c:v>
                </c:pt>
                <c:pt idx="2">
                  <c:v>Austria </c:v>
                </c:pt>
                <c:pt idx="3">
                  <c:v>France </c:v>
                </c:pt>
                <c:pt idx="4">
                  <c:v>United States </c:v>
                </c:pt>
                <c:pt idx="5">
                  <c:v>Estonia</c:v>
                </c:pt>
                <c:pt idx="6">
                  <c:v>Germany </c:v>
                </c:pt>
                <c:pt idx="7">
                  <c:v>Finland </c:v>
                </c:pt>
                <c:pt idx="8">
                  <c:v>Poland</c:v>
                </c:pt>
                <c:pt idx="9">
                  <c:v>Slovak Republic</c:v>
                </c:pt>
                <c:pt idx="10">
                  <c:v>Denmark</c:v>
                </c:pt>
                <c:pt idx="11">
                  <c:v>Portugal</c:v>
                </c:pt>
                <c:pt idx="12">
                  <c:v>Chile</c:v>
                </c:pt>
                <c:pt idx="13">
                  <c:v>Belgium</c:v>
                </c:pt>
                <c:pt idx="14">
                  <c:v>Ireland</c:v>
                </c:pt>
                <c:pt idx="15">
                  <c:v>Czechia</c:v>
                </c:pt>
              </c:strCache>
            </c:strRef>
          </c:cat>
          <c:val>
            <c:numRef>
              <c:f>'Figure PH 4.1.1'!$P$6:$P$21</c:f>
              <c:numCache>
                <c:formatCode>0.00%</c:formatCode>
                <c:ptCount val="16"/>
                <c:pt idx="0">
                  <c:v>0</c:v>
                </c:pt>
                <c:pt idx="1">
                  <c:v>1.4350951455414083E-4</c:v>
                </c:pt>
                <c:pt idx="2">
                  <c:v>0</c:v>
                </c:pt>
                <c:pt idx="3">
                  <c:v>0</c:v>
                </c:pt>
                <c:pt idx="4">
                  <c:v>9.7768440824207029E-4</c:v>
                </c:pt>
                <c:pt idx="5">
                  <c:v>0</c:v>
                </c:pt>
                <c:pt idx="6">
                  <c:v>0</c:v>
                </c:pt>
                <c:pt idx="7">
                  <c:v>0</c:v>
                </c:pt>
                <c:pt idx="8">
                  <c:v>0</c:v>
                </c:pt>
                <c:pt idx="9">
                  <c:v>0</c:v>
                </c:pt>
                <c:pt idx="10">
                  <c:v>3.2706459525756336E-4</c:v>
                </c:pt>
                <c:pt idx="11">
                  <c:v>0</c:v>
                </c:pt>
                <c:pt idx="12">
                  <c:v>1.7798267588354849E-4</c:v>
                </c:pt>
                <c:pt idx="13">
                  <c:v>5.2213537961842272E-5</c:v>
                </c:pt>
                <c:pt idx="14">
                  <c:v>0</c:v>
                </c:pt>
                <c:pt idx="15">
                  <c:v>0</c:v>
                </c:pt>
              </c:numCache>
            </c:numRef>
          </c:val>
          <c:extLst>
            <c:ext xmlns:c16="http://schemas.microsoft.com/office/drawing/2014/chart" uri="{C3380CC4-5D6E-409C-BE32-E72D297353CC}">
              <c16:uniqueId val="{00000002-1055-49D5-97BF-C95E4F659CE4}"/>
            </c:ext>
          </c:extLst>
        </c:ser>
        <c:dLbls>
          <c:showLegendKey val="0"/>
          <c:showVal val="0"/>
          <c:showCatName val="0"/>
          <c:showSerName val="0"/>
          <c:showPercent val="0"/>
          <c:showBubbleSize val="0"/>
        </c:dLbls>
        <c:gapWidth val="150"/>
        <c:overlap val="100"/>
        <c:axId val="487532064"/>
        <c:axId val="487533048"/>
      </c:barChart>
      <c:catAx>
        <c:axId val="487532064"/>
        <c:scaling>
          <c:orientation val="minMax"/>
        </c:scaling>
        <c:delete val="0"/>
        <c:axPos val="b"/>
        <c:majorGridlines>
          <c:spPr>
            <a:ln w="9525" cap="flat" cmpd="sng" algn="ctr">
              <a:solidFill>
                <a:srgbClr val="FFFFFF"/>
              </a:solidFill>
              <a:prstDash val="solid"/>
              <a:round/>
            </a:ln>
            <a:effectLst/>
          </c:spPr>
        </c:majorGridlines>
        <c:numFmt formatCode="General" sourceLinked="1"/>
        <c:majorTickMark val="in"/>
        <c:minorTickMark val="none"/>
        <c:tickLblPos val="low"/>
        <c:spPr>
          <a:noFill/>
          <a:ln w="9525" cap="flat" cmpd="sng" algn="ctr">
            <a:solidFill>
              <a:srgbClr val="000000"/>
            </a:solidFill>
            <a:prstDash val="solid"/>
            <a:round/>
          </a:ln>
          <a:effectLst/>
          <a:extLst>
            <a:ext uri="{909E8E84-426E-40DD-AFC4-6F175D3DCCD1}">
              <a14:hiddenFill xmlns:a14="http://schemas.microsoft.com/office/drawing/2010/main">
                <a:noFill/>
              </a14:hiddenFill>
            </a:ext>
          </a:extLst>
        </c:spPr>
        <c:txPr>
          <a:bodyPr rot="-1980000" spcFirstLastPara="1" vertOverflow="ellipsis" wrap="square" anchor="ctr" anchorCtr="1"/>
          <a:lstStyle/>
          <a:p>
            <a:pPr>
              <a:defRPr sz="750" b="0" i="0" u="none" strike="noStrike" kern="1200" baseline="0">
                <a:solidFill>
                  <a:srgbClr val="000000"/>
                </a:solidFill>
                <a:latin typeface="Arial Narrow"/>
                <a:ea typeface="Arial Narrow"/>
                <a:cs typeface="Arial Narrow"/>
              </a:defRPr>
            </a:pPr>
            <a:endParaRPr lang="en-US"/>
          </a:p>
        </c:txPr>
        <c:crossAx val="487533048"/>
        <c:crosses val="autoZero"/>
        <c:auto val="1"/>
        <c:lblAlgn val="ctr"/>
        <c:lblOffset val="0"/>
        <c:tickLblSkip val="1"/>
        <c:noMultiLvlLbl val="0"/>
      </c:catAx>
      <c:valAx>
        <c:axId val="487533048"/>
        <c:scaling>
          <c:orientation val="minMax"/>
        </c:scaling>
        <c:delete val="0"/>
        <c:axPos val="l"/>
        <c:majorGridlines>
          <c:spPr>
            <a:ln w="9525" cap="flat" cmpd="sng" algn="ctr">
              <a:solidFill>
                <a:srgbClr val="FFFFFF"/>
              </a:solidFill>
              <a:prstDash val="solid"/>
              <a:round/>
            </a:ln>
            <a:effectLst/>
          </c:spPr>
        </c:majorGridlines>
        <c:numFmt formatCode="0.00%" sourceLinked="1"/>
        <c:majorTickMark val="in"/>
        <c:minorTickMark val="none"/>
        <c:tickLblPos val="nextTo"/>
        <c:spPr>
          <a:noFill/>
          <a:ln w="9525">
            <a:solidFill>
              <a:srgbClr val="000000"/>
            </a:solidFill>
            <a:prstDash val="soli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750" b="0" i="0" u="none" strike="noStrike" kern="1200" baseline="0">
                <a:solidFill>
                  <a:srgbClr val="000000"/>
                </a:solidFill>
                <a:latin typeface="Arial Narrow"/>
                <a:ea typeface="Arial Narrow"/>
                <a:cs typeface="Arial Narrow"/>
              </a:defRPr>
            </a:pPr>
            <a:endParaRPr lang="en-US"/>
          </a:p>
        </c:txPr>
        <c:crossAx val="487532064"/>
        <c:crosses val="autoZero"/>
        <c:crossBetween val="between"/>
      </c:valAx>
      <c:spPr>
        <a:solidFill>
          <a:srgbClr val="EAEAEA"/>
        </a:solidFill>
        <a:ln>
          <a:noFill/>
        </a:ln>
        <a:effectLst/>
        <a:extLst>
          <a:ext uri="{91240B29-F687-4F45-9708-019B960494DF}">
            <a14:hiddenLine xmlns:a14="http://schemas.microsoft.com/office/drawing/2010/main">
              <a:noFill/>
            </a14:hiddenLine>
          </a:ext>
        </a:extLst>
      </c:spPr>
    </c:plotArea>
    <c:legend>
      <c:legendPos val="b"/>
      <c:layout>
        <c:manualLayout>
          <c:xMode val="edge"/>
          <c:yMode val="edge"/>
          <c:x val="6.4474722565839387E-2"/>
          <c:y val="1.0174193833089344E-2"/>
          <c:w val="0.93058077607455458"/>
          <c:h val="7.4703011413679007E-2"/>
        </c:manualLayout>
      </c:layout>
      <c:overlay val="1"/>
      <c:spPr>
        <a:solidFill>
          <a:srgbClr val="EAEAEA"/>
        </a:solidFill>
        <a:ln>
          <a:noFill/>
        </a:ln>
        <a:effectLst/>
        <a:extLst>
          <a:ext uri="{91240B29-F687-4F45-9708-019B960494DF}">
            <a14:hiddenLine xmlns:a14="http://schemas.microsoft.com/office/drawing/2010/main">
              <a:noFill/>
            </a14:hiddenLine>
          </a:ext>
        </a:extLst>
      </c:spPr>
      <c:txPr>
        <a:bodyPr rot="0" spcFirstLastPara="1" vertOverflow="ellipsis" vert="horz" wrap="square" anchor="ctr" anchorCtr="1"/>
        <a:lstStyle/>
        <a:p>
          <a:pPr>
            <a:defRPr sz="750" b="0" i="0" u="none" strike="noStrike" kern="1200" baseline="0">
              <a:solidFill>
                <a:srgbClr val="000000"/>
              </a:solidFill>
              <a:latin typeface="Arial Narrow"/>
              <a:ea typeface="Arial Narrow"/>
              <a:cs typeface="Arial Narrow"/>
            </a:defRPr>
          </a:pPr>
          <a:endParaRPr lang="en-US"/>
        </a:p>
      </c:txPr>
    </c:legend>
    <c:plotVisOnly val="1"/>
    <c:dispBlanksAs val="gap"/>
    <c:showDLblsOverMax val="1"/>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xMode val="edge"/>
          <c:yMode val="edge"/>
          <c:x val="8.4938995241911446E-3"/>
          <c:y val="0.13285764016894772"/>
          <c:w val="0.98938262559476109"/>
          <c:h val="0.85718195830922828"/>
        </c:manualLayout>
      </c:layout>
      <c:barChart>
        <c:barDir val="col"/>
        <c:grouping val="clustered"/>
        <c:varyColors val="0"/>
        <c:ser>
          <c:idx val="1"/>
          <c:order val="1"/>
          <c:tx>
            <c:strRef>
              <c:f>'Figure PH 4.1.2'!$O$4:$O$5</c:f>
              <c:strCache>
                <c:ptCount val="2"/>
                <c:pt idx="0">
                  <c:v>2022 or latest</c:v>
                </c:pt>
              </c:strCache>
            </c:strRef>
          </c:tx>
          <c:spPr>
            <a:solidFill>
              <a:srgbClr val="002F6C"/>
            </a:solidFill>
            <a:ln w="6350" cmpd="sng">
              <a:noFill/>
              <a:round/>
            </a:ln>
            <a:effectLst/>
            <a:extLst>
              <a:ext uri="{91240B29-F687-4F45-9708-019B960494DF}">
                <a14:hiddenLine xmlns:a14="http://schemas.microsoft.com/office/drawing/2010/main" w="6350" cmpd="sng">
                  <a:solidFill>
                    <a:srgbClr val="000000"/>
                  </a:solidFill>
                  <a:round/>
                </a14:hiddenLine>
              </a:ext>
            </a:extLst>
          </c:spPr>
          <c:invertIfNegative val="0"/>
          <c:dPt>
            <c:idx val="14"/>
            <c:invertIfNegative val="0"/>
            <c:bubble3D val="0"/>
            <c:extLst>
              <c:ext xmlns:c16="http://schemas.microsoft.com/office/drawing/2014/chart" uri="{C3380CC4-5D6E-409C-BE32-E72D297353CC}">
                <c16:uniqueId val="{00000000-7C4A-41C7-8F67-FDD0BEB78D20}"/>
              </c:ext>
            </c:extLst>
          </c:dPt>
          <c:dPt>
            <c:idx val="15"/>
            <c:invertIfNegative val="0"/>
            <c:bubble3D val="0"/>
            <c:extLst>
              <c:ext xmlns:c16="http://schemas.microsoft.com/office/drawing/2014/chart" uri="{C3380CC4-5D6E-409C-BE32-E72D297353CC}">
                <c16:uniqueId val="{00000001-7C4A-41C7-8F67-FDD0BEB78D20}"/>
              </c:ext>
            </c:extLst>
          </c:dPt>
          <c:dPt>
            <c:idx val="16"/>
            <c:invertIfNegative val="0"/>
            <c:bubble3D val="0"/>
            <c:extLst>
              <c:ext xmlns:c16="http://schemas.microsoft.com/office/drawing/2014/chart" uri="{C3380CC4-5D6E-409C-BE32-E72D297353CC}">
                <c16:uniqueId val="{00000002-7C4A-41C7-8F67-FDD0BEB78D20}"/>
              </c:ext>
            </c:extLst>
          </c:dPt>
          <c:cat>
            <c:strRef>
              <c:f>'Figure PH 4.1.2'!$M$6:$M$9</c:f>
              <c:strCache>
                <c:ptCount val="4"/>
                <c:pt idx="0">
                  <c:v>Australia</c:v>
                </c:pt>
                <c:pt idx="1">
                  <c:v>Austria </c:v>
                </c:pt>
                <c:pt idx="2">
                  <c:v>United States</c:v>
                </c:pt>
                <c:pt idx="3">
                  <c:v>Slovak Republic</c:v>
                </c:pt>
              </c:strCache>
            </c:strRef>
          </c:cat>
          <c:val>
            <c:numRef>
              <c:f>'Figure PH 4.1.2'!$O$6:$O$9</c:f>
              <c:numCache>
                <c:formatCode>0.00%</c:formatCode>
                <c:ptCount val="4"/>
                <c:pt idx="0">
                  <c:v>2.6274254773111334E-3</c:v>
                </c:pt>
                <c:pt idx="1">
                  <c:v>2.0728384576285414E-3</c:v>
                </c:pt>
                <c:pt idx="2">
                  <c:v>9.7768440824207029E-4</c:v>
                </c:pt>
                <c:pt idx="3">
                  <c:v>3.5009991866127014E-4</c:v>
                </c:pt>
              </c:numCache>
            </c:numRef>
          </c:val>
          <c:extLst>
            <c:ext xmlns:c16="http://schemas.microsoft.com/office/drawing/2014/chart" uri="{C3380CC4-5D6E-409C-BE32-E72D297353CC}">
              <c16:uniqueId val="{00000003-7C4A-41C7-8F67-FDD0BEB78D20}"/>
            </c:ext>
          </c:extLst>
        </c:ser>
        <c:dLbls>
          <c:showLegendKey val="0"/>
          <c:showVal val="0"/>
          <c:showCatName val="0"/>
          <c:showSerName val="0"/>
          <c:showPercent val="0"/>
          <c:showBubbleSize val="0"/>
        </c:dLbls>
        <c:gapWidth val="150"/>
        <c:axId val="196138880"/>
        <c:axId val="199688192"/>
      </c:barChart>
      <c:lineChart>
        <c:grouping val="standard"/>
        <c:varyColors val="0"/>
        <c:ser>
          <c:idx val="0"/>
          <c:order val="0"/>
          <c:tx>
            <c:strRef>
              <c:f>'Figure PH 4.1.2'!$N$4:$N$5</c:f>
              <c:strCache>
                <c:ptCount val="2"/>
                <c:pt idx="0">
                  <c:v>2010 or nearest</c:v>
                </c:pt>
              </c:strCache>
            </c:strRef>
          </c:tx>
          <c:spPr>
            <a:ln w="6350" cap="rnd" cmpd="sng" algn="ctr">
              <a:noFill/>
              <a:prstDash val="solid"/>
              <a:round/>
            </a:ln>
            <a:effectLst/>
            <a:extLst>
              <a:ext uri="{91240B29-F687-4F45-9708-019B960494DF}">
                <a14:hiddenLine xmlns:a14="http://schemas.microsoft.com/office/drawing/2010/main" w="6350" cap="rnd" cmpd="sng" algn="ctr">
                  <a:solidFill>
                    <a:sysClr val="windowText" lastClr="000000"/>
                  </a:solidFill>
                  <a:prstDash val="solid"/>
                  <a:round/>
                </a14:hiddenLine>
              </a:ext>
            </a:extLst>
          </c:spPr>
          <c:marker>
            <c:symbol val="diamond"/>
            <c:size val="5"/>
            <c:spPr>
              <a:solidFill>
                <a:srgbClr val="7FA8D9"/>
              </a:solidFill>
              <a:ln w="6350">
                <a:solidFill>
                  <a:srgbClr val="7FA8D9"/>
                </a:solidFill>
                <a:prstDash val="solid"/>
              </a:ln>
              <a:effectLst/>
            </c:spPr>
          </c:marker>
          <c:cat>
            <c:strRef>
              <c:f>'Figure PH 4.1.2'!$M$6:$M$9</c:f>
              <c:strCache>
                <c:ptCount val="4"/>
                <c:pt idx="0">
                  <c:v>Australia</c:v>
                </c:pt>
                <c:pt idx="1">
                  <c:v>Austria </c:v>
                </c:pt>
                <c:pt idx="2">
                  <c:v>United States</c:v>
                </c:pt>
                <c:pt idx="3">
                  <c:v>Slovak Republic</c:v>
                </c:pt>
              </c:strCache>
            </c:strRef>
          </c:cat>
          <c:val>
            <c:numRef>
              <c:f>'Figure PH 4.1.2'!$N$6:$N$9</c:f>
              <c:numCache>
                <c:formatCode>0.00%</c:formatCode>
                <c:ptCount val="4"/>
                <c:pt idx="0">
                  <c:v>5.2054897648870996E-3</c:v>
                </c:pt>
                <c:pt idx="1">
                  <c:v>3.385523388238307E-3</c:v>
                </c:pt>
                <c:pt idx="2">
                  <c:v>1.2035224162758628E-3</c:v>
                </c:pt>
                <c:pt idx="3">
                  <c:v>4.3513398507230279E-4</c:v>
                </c:pt>
              </c:numCache>
            </c:numRef>
          </c:val>
          <c:smooth val="0"/>
          <c:extLst>
            <c:ext xmlns:c16="http://schemas.microsoft.com/office/drawing/2014/chart" uri="{C3380CC4-5D6E-409C-BE32-E72D297353CC}">
              <c16:uniqueId val="{00000004-7C4A-41C7-8F67-FDD0BEB78D20}"/>
            </c:ext>
          </c:extLst>
        </c:ser>
        <c:dLbls>
          <c:showLegendKey val="0"/>
          <c:showVal val="0"/>
          <c:showCatName val="0"/>
          <c:showSerName val="0"/>
          <c:showPercent val="0"/>
          <c:showBubbleSize val="0"/>
        </c:dLbls>
        <c:marker val="1"/>
        <c:smooth val="0"/>
        <c:axId val="196138880"/>
        <c:axId val="199688192"/>
      </c:lineChart>
      <c:catAx>
        <c:axId val="196138880"/>
        <c:scaling>
          <c:orientation val="minMax"/>
        </c:scaling>
        <c:delete val="0"/>
        <c:axPos val="b"/>
        <c:majorGridlines>
          <c:spPr>
            <a:ln w="9525" cmpd="sng">
              <a:solidFill>
                <a:srgbClr val="FFFFFF"/>
              </a:solidFill>
              <a:prstDash val="solid"/>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199688192"/>
        <c:crosses val="autoZero"/>
        <c:auto val="1"/>
        <c:lblAlgn val="ctr"/>
        <c:lblOffset val="0"/>
        <c:tickLblSkip val="1"/>
        <c:noMultiLvlLbl val="0"/>
      </c:catAx>
      <c:valAx>
        <c:axId val="199688192"/>
        <c:scaling>
          <c:orientation val="minMax"/>
        </c:scaling>
        <c:delete val="0"/>
        <c:axPos val="l"/>
        <c:majorGridlines>
          <c:spPr>
            <a:ln w="9525" cmpd="sng">
              <a:solidFill>
                <a:srgbClr val="FFFFFF"/>
              </a:solidFill>
              <a:prstDash val="solid"/>
            </a:ln>
          </c:spPr>
        </c:majorGridlines>
        <c:numFmt formatCode="0.00%" sourceLinked="1"/>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196138880"/>
        <c:crosses val="autoZero"/>
        <c:crossBetween val="between"/>
      </c:valAx>
      <c:spPr>
        <a:solidFill>
          <a:srgbClr val="EAEAEA"/>
        </a:solidFill>
        <a:ln w="9525">
          <a:noFill/>
        </a:ln>
        <a:effectLst/>
        <a:extLst>
          <a:ext uri="{91240B29-F687-4F45-9708-019B960494DF}">
            <a14:hiddenLine xmlns:a14="http://schemas.microsoft.com/office/drawing/2010/main" w="9525">
              <a:solidFill>
                <a:srgbClr val="000000"/>
              </a:solidFill>
            </a14:hiddenLine>
          </a:ext>
        </a:extLst>
      </c:spPr>
    </c:plotArea>
    <c:legend>
      <c:legendPos val="r"/>
      <c:layout>
        <c:manualLayout>
          <c:xMode val="edge"/>
          <c:yMode val="edge"/>
          <c:x val="6.2626457527241927E-2"/>
          <c:y val="1.9920803043647736E-2"/>
          <c:w val="0.93525006759171025"/>
          <c:h val="7.4703011413679007E-2"/>
        </c:manualLayout>
      </c:layout>
      <c:overlay val="1"/>
      <c:spPr>
        <a:solidFill>
          <a:srgbClr val="EAEAEA"/>
        </a:solidFill>
        <a:ln>
          <a:noFill/>
          <a:round/>
        </a:ln>
        <a:effectLst/>
        <a:extLst>
          <a:ext uri="{91240B29-F687-4F45-9708-019B960494DF}">
            <a14:hiddenLine xmlns:a14="http://schemas.microsoft.com/office/drawing/2010/main">
              <a:noFill/>
              <a:round/>
            </a14:hiddenLine>
          </a:ext>
        </a:extLst>
      </c:spPr>
      <c:txPr>
        <a:bodyPr/>
        <a:lstStyle/>
        <a:p>
          <a:pPr>
            <a:defRPr sz="750" b="0" i="0">
              <a:solidFill>
                <a:srgbClr val="000000"/>
              </a:solidFill>
              <a:latin typeface="Arial Narrow"/>
              <a:ea typeface="Arial Narrow"/>
              <a:cs typeface="Arial Narrow"/>
            </a:defRPr>
          </a:pPr>
          <a:endParaRPr lang="en-US"/>
        </a:p>
      </c:txPr>
    </c:legend>
    <c:plotVisOnly val="1"/>
    <c:dispBlanksAs val="gap"/>
    <c:showDLblsOverMax val="1"/>
  </c:chart>
  <c:spPr>
    <a:noFill/>
    <a:ln w="9525"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paperSize="9" orientation="landscape"/>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76200</xdr:colOff>
      <xdr:row>3</xdr:row>
      <xdr:rowOff>33337</xdr:rowOff>
    </xdr:from>
    <xdr:to>
      <xdr:col>9</xdr:col>
      <xdr:colOff>141938</xdr:colOff>
      <xdr:row>18</xdr:row>
      <xdr:rowOff>154560</xdr:rowOff>
    </xdr:to>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xdr:row>
      <xdr:rowOff>28575</xdr:rowOff>
    </xdr:from>
    <xdr:to>
      <xdr:col>9</xdr:col>
      <xdr:colOff>65738</xdr:colOff>
      <xdr:row>18</xdr:row>
      <xdr:rowOff>149798</xdr:rowOff>
    </xdr:to>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portal.oecd.org/eshare/els/pc/Deliverables/Housing/Housing%20Data%20Base/Indicators/2023_HDB/PH.4_social_rental_housing/PH4.1/Working/PH4.1_Working_with_links%20(updated).xlsx" TargetMode="External"/><Relationship Id="rId1" Type="http://schemas.openxmlformats.org/officeDocument/2006/relationships/externalLinkPath" Target="Working/PH4.1_Working_with_links%20(updat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Me"/>
      <sheetName val="Figure_PH4.1.1 (new)"/>
      <sheetName val="Figure_PH4.1.2 (new)"/>
      <sheetName val="Name of measures"/>
      <sheetName val="QuASH"/>
      <sheetName val="DLM_GDP"/>
      <sheetName val="Sheet1"/>
      <sheetName val="Data_linked"/>
      <sheetName val="Calc_Share_GDP"/>
      <sheetName val="Figure_PH4.1.1 (old)"/>
      <sheetName val="Figure_PH4.1.2 (old)"/>
    </sheetNames>
    <sheetDataSet>
      <sheetData sheetId="0" refreshError="1"/>
      <sheetData sheetId="1" refreshError="1"/>
      <sheetData sheetId="2" refreshError="1"/>
      <sheetData sheetId="3">
        <row r="2">
          <cell r="A2" t="str">
            <v>Australia</v>
          </cell>
          <cell r="B2" t="str">
            <v>Public Housing</v>
          </cell>
          <cell r="C2" t="str">
            <v>Public Housing</v>
          </cell>
          <cell r="D2" t="str">
            <v>State owned and managed Indigenous housing (SOMIH)</v>
          </cell>
          <cell r="E2" t="str">
            <v>State owned and managed Indigenous housing (SOMIH)</v>
          </cell>
          <cell r="G2" t="str">
            <v>Indigenous Community Housing</v>
          </cell>
        </row>
        <row r="3">
          <cell r="A3" t="str">
            <v>New Zealand</v>
          </cell>
          <cell r="C3" t="str">
            <v>Income Related Rent Subsidy (IRRS)</v>
          </cell>
          <cell r="D3" t="str">
            <v/>
          </cell>
          <cell r="E3" t="str">
            <v/>
          </cell>
          <cell r="G3" t="str">
            <v/>
          </cell>
          <cell r="I3" t="str">
            <v/>
          </cell>
        </row>
        <row r="4">
          <cell r="A4" t="str">
            <v>Austria</v>
          </cell>
          <cell r="B4" t="str">
            <v>Wohnbauförderung der Länder</v>
          </cell>
          <cell r="C4" t="str">
            <v>Housing Promotion by Federal Provinces</v>
          </cell>
          <cell r="D4" t="str">
            <v/>
          </cell>
          <cell r="E4" t="str">
            <v/>
          </cell>
          <cell r="G4" t="str">
            <v/>
          </cell>
          <cell r="I4" t="str">
            <v/>
          </cell>
        </row>
        <row r="5">
          <cell r="A5" t="str">
            <v>United States</v>
          </cell>
          <cell r="B5" t="str">
            <v>Public housing</v>
          </cell>
          <cell r="C5" t="str">
            <v>Public housing</v>
          </cell>
          <cell r="D5" t="str">
            <v>Project-based rental assistance</v>
          </cell>
          <cell r="E5" t="str">
            <v>Project-based rental assistance</v>
          </cell>
          <cell r="G5" t="str">
            <v/>
          </cell>
          <cell r="I5" t="str">
            <v/>
          </cell>
        </row>
        <row r="6">
          <cell r="A6" t="str">
            <v>France</v>
          </cell>
          <cell r="B6" t="str">
            <v>Prets aides au logement social</v>
          </cell>
          <cell r="C6" t="str">
            <v>Loans and/or loan guarantees to social housing providers</v>
          </cell>
          <cell r="D6" t="str">
            <v>Taux reduit de TVA</v>
          </cell>
          <cell r="E6" t="str">
            <v>Tax credits and/or tax deductions for social housing providers</v>
          </cell>
          <cell r="F6" t="str">
            <v>Exonération d'impôts sur les sociétés</v>
          </cell>
          <cell r="G6" t="str">
            <v>Tax credits and/or tax deductions for social housing providers</v>
          </cell>
          <cell r="H6" t="str">
            <v>Subventions (aides directes)</v>
          </cell>
          <cell r="I6" t="str">
            <v>Direct provision of social (subsidised) housing</v>
          </cell>
        </row>
        <row r="7">
          <cell r="A7" t="str">
            <v>Estonia</v>
          </cell>
          <cell r="B7" t="str">
            <v>Kohaliku omavalitsuse üksuse elamufondi arendamiseks juhtumipõhise investeeringutoetuse andmise tingimused ja kord</v>
          </cell>
          <cell r="C7" t="str">
            <v>Conditions and procedures for the investment support for the development of municipal housing stock</v>
          </cell>
          <cell r="D7" t="str">
            <v/>
          </cell>
          <cell r="E7" t="str">
            <v/>
          </cell>
          <cell r="G7" t="str">
            <v/>
          </cell>
          <cell r="I7" t="str">
            <v/>
          </cell>
        </row>
        <row r="8">
          <cell r="A8" t="str">
            <v>Germany</v>
          </cell>
          <cell r="B8" t="str">
            <v>Fördermittel als Darlehen zu Vorzugsbedingungen</v>
          </cell>
          <cell r="C8" t="str">
            <v>Subsidy in form of loans at advantageous conditions</v>
          </cell>
          <cell r="D8" t="str">
            <v>Fördermittel als Zuschuss</v>
          </cell>
          <cell r="E8" t="str">
            <v>Subsidy in form of grants</v>
          </cell>
          <cell r="G8" t="str">
            <v/>
          </cell>
          <cell r="I8" t="str">
            <v/>
          </cell>
        </row>
        <row r="9">
          <cell r="A9" t="str">
            <v>Finland</v>
          </cell>
          <cell r="B9" t="str">
            <v>Erityisryhmien investointiavustus</v>
          </cell>
          <cell r="C9" t="str">
            <v>Investment subsidies for special-needs groups</v>
          </cell>
          <cell r="D9" t="str">
            <v>Muut avustukset</v>
          </cell>
          <cell r="E9" t="str">
            <v>Other subsidies</v>
          </cell>
          <cell r="G9" t="str">
            <v/>
          </cell>
          <cell r="I9" t="str">
            <v/>
          </cell>
        </row>
        <row r="10">
          <cell r="A10" t="str">
            <v>Slovak Republic</v>
          </cell>
          <cell r="B10" t="str">
            <v>Dotacie na rozvoj byvania</v>
          </cell>
          <cell r="C10" t="str">
            <v>Subsidies on housing development</v>
          </cell>
          <cell r="D10" t="str">
            <v>Štátny fond rozvoja bývania</v>
          </cell>
          <cell r="E10" t="str">
            <v>State Housing Development Fund</v>
          </cell>
          <cell r="G10" t="str">
            <v/>
          </cell>
          <cell r="I10" t="str">
            <v/>
          </cell>
        </row>
        <row r="11">
          <cell r="A11" t="str">
            <v>Denmark</v>
          </cell>
          <cell r="B11" t="str">
            <v>Grundkapital</v>
          </cell>
          <cell r="C11" t="str">
            <v>Basic Capital loans</v>
          </cell>
          <cell r="D11" t="str">
            <v/>
          </cell>
          <cell r="E11" t="str">
            <v/>
          </cell>
          <cell r="G11" t="str">
            <v/>
          </cell>
          <cell r="I11" t="str">
            <v/>
          </cell>
        </row>
        <row r="12">
          <cell r="A12" t="str">
            <v>Portugal</v>
          </cell>
          <cell r="B12" t="str">
            <v>1.º Direito - Programa de Apoio ao Acesso à Habitação</v>
          </cell>
          <cell r="C12" t="str">
            <v>1st Right - Housing Access Support Program</v>
          </cell>
          <cell r="D12" t="str">
            <v>Porta de Entrada</v>
          </cell>
          <cell r="E12" t="str">
            <v>Gateway measure</v>
          </cell>
          <cell r="G12" t="str">
            <v/>
          </cell>
          <cell r="I12" t="str">
            <v/>
          </cell>
        </row>
        <row r="13">
          <cell r="A13" t="str">
            <v>Poland</v>
          </cell>
          <cell r="B13" t="str">
            <v>program preferencyjnych kredytów objętych dopłatami do odsetek z budżetu państwa, udzielanych przez Bank Gospodarstwa Krajowego na społeczne budownictwo czynszowe (program SBC)</v>
          </cell>
          <cell r="C13" t="str">
            <v>program of preferential loans with subsidies to interest from the state budget, granted by Bank Gospodarstwa Krajowego for social rental housing (SBC program)</v>
          </cell>
          <cell r="D13" t="str">
            <v>program bezzwrotnego dofinansowania części kosztów inwestycji mieszkaniowej z Funduszu Dopłat w Banku Gospodarstwa Krajowego (program BSK)</v>
          </cell>
          <cell r="E13" t="str">
            <v>program of non-returnable financing of part of the costs of a housing investment from the Subsidy Fund at Bank Gospodarstwa Krajowego (BSK program)</v>
          </cell>
          <cell r="G13" t="str">
            <v/>
          </cell>
          <cell r="I13" t="str">
            <v/>
          </cell>
        </row>
        <row r="14">
          <cell r="A14" t="str">
            <v>Chile</v>
          </cell>
          <cell r="B14" t="str">
            <v>Arriendo a Precio Justo</v>
          </cell>
          <cell r="C14" t="str">
            <v>Rent at a Fair Price (Arriendo a Precio Justo)</v>
          </cell>
          <cell r="D14" t="str">
            <v/>
          </cell>
          <cell r="E14" t="str">
            <v/>
          </cell>
          <cell r="G14" t="str">
            <v/>
          </cell>
          <cell r="I14" t="str">
            <v/>
          </cell>
        </row>
        <row r="15">
          <cell r="A15" t="str">
            <v>Belgium</v>
          </cell>
          <cell r="B15" t="str">
            <v>Personeels- en werkingssubsidie aan sociale verhuurkantoren</v>
          </cell>
          <cell r="C15" t="str">
            <v>Subsidised social rental agencies (SRA)</v>
          </cell>
          <cell r="D15" t="str">
            <v/>
          </cell>
          <cell r="E15" t="str">
            <v/>
          </cell>
          <cell r="G15" t="str">
            <v/>
          </cell>
          <cell r="I15" t="str">
            <v/>
          </cell>
        </row>
        <row r="16">
          <cell r="A16" t="str">
            <v>Ireland</v>
          </cell>
          <cell r="B16" t="str">
            <v/>
          </cell>
          <cell r="C16" t="str">
            <v>The Repair and Leasing Scheme</v>
          </cell>
          <cell r="D16" t="str">
            <v/>
          </cell>
          <cell r="E16" t="str">
            <v/>
          </cell>
          <cell r="G16" t="str">
            <v/>
          </cell>
          <cell r="I16" t="str">
            <v/>
          </cell>
        </row>
        <row r="17">
          <cell r="A17" t="str">
            <v>Czech Republic</v>
          </cell>
          <cell r="B17" t="str">
            <v>IROP - Sociální bydlení</v>
          </cell>
          <cell r="C17" t="str">
            <v>IROP - Social Housing</v>
          </cell>
          <cell r="D17" t="str">
            <v/>
          </cell>
          <cell r="E17" t="str">
            <v/>
          </cell>
          <cell r="G17" t="str">
            <v/>
          </cell>
          <cell r="I17" t="str">
            <v/>
          </cell>
        </row>
        <row r="18">
          <cell r="B18">
            <v>2</v>
          </cell>
          <cell r="C18">
            <v>3</v>
          </cell>
          <cell r="D18">
            <v>25</v>
          </cell>
          <cell r="E18">
            <v>26</v>
          </cell>
          <cell r="F18">
            <v>48</v>
          </cell>
          <cell r="G18">
            <v>49</v>
          </cell>
          <cell r="H18">
            <v>70</v>
          </cell>
          <cell r="I18">
            <v>71</v>
          </cell>
        </row>
        <row r="19">
          <cell r="B19">
            <v>10</v>
          </cell>
          <cell r="C19">
            <v>10</v>
          </cell>
          <cell r="D19">
            <v>33</v>
          </cell>
          <cell r="E19">
            <v>33</v>
          </cell>
          <cell r="F19">
            <v>56</v>
          </cell>
          <cell r="G19">
            <v>56</v>
          </cell>
          <cell r="H19">
            <v>79</v>
          </cell>
          <cell r="I19">
            <v>79</v>
          </cell>
        </row>
      </sheetData>
      <sheetData sheetId="4"/>
      <sheetData sheetId="5" refreshError="1"/>
      <sheetData sheetId="6" refreshError="1"/>
      <sheetData sheetId="7" refreshError="1"/>
      <sheetData sheetId="8" refreshError="1"/>
      <sheetData sheetId="9" refreshError="1"/>
      <sheetData sheetId="1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disclaimer:%20http://oe.cd/disclaimer"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disclaimer:%20http://oe.cd/disclaimer"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disclaimer:%20http://oe.cd/disclaim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Y80"/>
  <sheetViews>
    <sheetView showGridLines="0" tabSelected="1" topLeftCell="A2" zoomScale="85" zoomScaleNormal="85" workbookViewId="0">
      <selection activeCell="T14" sqref="T14"/>
    </sheetView>
  </sheetViews>
  <sheetFormatPr defaultColWidth="8.7109375" defaultRowHeight="12.75" x14ac:dyDescent="0.2"/>
  <cols>
    <col min="1" max="11" width="8.7109375" style="3"/>
    <col min="12" max="12" width="5.140625" style="3" customWidth="1"/>
    <col min="13" max="13" width="16.5703125" style="2" customWidth="1"/>
    <col min="14" max="14" width="13" style="2" customWidth="1"/>
    <col min="15" max="15" width="11.140625" style="2" customWidth="1"/>
    <col min="16" max="16" width="10.85546875" style="33" customWidth="1"/>
    <col min="17" max="18" width="8.7109375" style="29" customWidth="1"/>
    <col min="19" max="19" width="8.7109375" style="30" customWidth="1"/>
    <col min="20" max="21" width="8.7109375" style="23"/>
    <col min="22" max="22" width="12.140625" style="23" bestFit="1" customWidth="1"/>
    <col min="23" max="23" width="8.7109375" style="23"/>
    <col min="24" max="16384" width="8.7109375" style="3"/>
  </cols>
  <sheetData>
    <row r="1" spans="1:25" ht="12.75" customHeight="1" x14ac:dyDescent="0.2">
      <c r="A1" s="65" t="s">
        <v>3</v>
      </c>
      <c r="B1" s="63"/>
      <c r="C1" s="63"/>
      <c r="D1" s="63"/>
      <c r="E1" s="63"/>
      <c r="F1" s="63"/>
      <c r="G1" s="63"/>
      <c r="H1" s="63"/>
      <c r="I1" s="63"/>
      <c r="J1" s="1"/>
      <c r="K1" s="1"/>
      <c r="L1" s="1"/>
      <c r="M1" s="64" t="s">
        <v>12</v>
      </c>
      <c r="N1" s="64"/>
      <c r="O1" s="64"/>
      <c r="P1" s="64"/>
      <c r="Q1" s="64"/>
    </row>
    <row r="2" spans="1:25" ht="30.75" customHeight="1" x14ac:dyDescent="0.2">
      <c r="A2" s="63"/>
      <c r="B2" s="63"/>
      <c r="C2" s="63"/>
      <c r="D2" s="63"/>
      <c r="E2" s="63"/>
      <c r="F2" s="63"/>
      <c r="G2" s="63"/>
      <c r="H2" s="63"/>
      <c r="I2" s="63"/>
      <c r="J2" s="1"/>
      <c r="K2" s="1"/>
      <c r="L2" s="1"/>
      <c r="M2" s="64"/>
      <c r="N2" s="64"/>
      <c r="O2" s="64"/>
      <c r="P2" s="64"/>
      <c r="Q2" s="64"/>
      <c r="R2" s="35"/>
      <c r="S2" s="39"/>
      <c r="T2" s="39"/>
      <c r="U2" s="39"/>
      <c r="V2" s="39"/>
      <c r="W2" s="39"/>
      <c r="X2" s="39"/>
      <c r="Y2" s="39"/>
    </row>
    <row r="3" spans="1:25" ht="13.5" customHeight="1" x14ac:dyDescent="0.2">
      <c r="A3" s="66" t="s">
        <v>14</v>
      </c>
      <c r="B3" s="66"/>
      <c r="C3" s="66"/>
      <c r="D3" s="66"/>
      <c r="E3" s="66"/>
      <c r="F3" s="66"/>
      <c r="G3" s="66"/>
      <c r="H3" s="66"/>
      <c r="I3" s="66"/>
      <c r="J3" s="1"/>
      <c r="K3" s="1"/>
      <c r="L3" s="1"/>
      <c r="M3" s="63" t="s">
        <v>14</v>
      </c>
      <c r="N3" s="63"/>
      <c r="O3" s="63"/>
      <c r="P3" s="63"/>
      <c r="Q3" s="63"/>
      <c r="R3" s="35"/>
      <c r="S3" s="39"/>
      <c r="T3" s="39"/>
      <c r="U3" s="39"/>
      <c r="V3" s="39"/>
      <c r="W3" s="39"/>
      <c r="X3" s="39"/>
      <c r="Y3" s="39"/>
    </row>
    <row r="4" spans="1:25" x14ac:dyDescent="0.2">
      <c r="A4" s="1"/>
      <c r="B4" s="1"/>
      <c r="C4" s="1"/>
      <c r="D4" s="1"/>
      <c r="E4" s="1"/>
      <c r="F4" s="1"/>
      <c r="G4" s="1"/>
      <c r="H4" s="1"/>
      <c r="I4" s="1"/>
      <c r="J4" s="1"/>
      <c r="K4" s="1"/>
      <c r="L4" s="19"/>
      <c r="M4" s="1"/>
      <c r="N4" s="1"/>
      <c r="O4" s="1"/>
      <c r="P4" s="31"/>
      <c r="Q4" s="32"/>
      <c r="R4" s="35"/>
      <c r="S4" s="39"/>
      <c r="T4" s="39"/>
      <c r="U4" s="39"/>
      <c r="V4" s="39"/>
      <c r="W4" s="39"/>
      <c r="X4" s="39"/>
      <c r="Y4" s="39"/>
    </row>
    <row r="5" spans="1:25" x14ac:dyDescent="0.2">
      <c r="A5" s="1"/>
      <c r="B5" s="1"/>
      <c r="C5" s="1"/>
      <c r="D5" s="1"/>
      <c r="E5" s="1"/>
      <c r="F5" s="1"/>
      <c r="G5" s="1"/>
      <c r="H5" s="1"/>
      <c r="I5" s="1"/>
      <c r="J5" s="1"/>
      <c r="K5" s="1"/>
      <c r="L5" s="1"/>
      <c r="M5" s="1"/>
      <c r="N5" s="35" t="s">
        <v>11</v>
      </c>
      <c r="O5" s="35" t="s">
        <v>9</v>
      </c>
      <c r="P5" s="35" t="s">
        <v>10</v>
      </c>
      <c r="Q5" s="35" t="s">
        <v>19</v>
      </c>
      <c r="S5" s="39"/>
      <c r="W5" s="39"/>
      <c r="X5" s="39"/>
      <c r="Y5" s="39"/>
    </row>
    <row r="6" spans="1:25" x14ac:dyDescent="0.2">
      <c r="A6" s="1"/>
      <c r="B6" s="1"/>
      <c r="C6" s="1"/>
      <c r="D6" s="1"/>
      <c r="E6" s="1"/>
      <c r="F6" s="1"/>
      <c r="G6" s="1"/>
      <c r="H6" s="1"/>
      <c r="I6" s="1"/>
      <c r="J6" s="1"/>
      <c r="K6" s="1"/>
      <c r="L6" s="1"/>
      <c r="M6" s="20" t="s">
        <v>1</v>
      </c>
      <c r="N6" s="41">
        <v>3.4738822419113501E-3</v>
      </c>
      <c r="O6" s="41">
        <v>0</v>
      </c>
      <c r="P6" s="41">
        <v>0</v>
      </c>
      <c r="Q6" s="41">
        <f>SUM(N6:P6)</f>
        <v>3.4738822419113501E-3</v>
      </c>
      <c r="S6" s="39"/>
      <c r="W6" s="39"/>
      <c r="X6" s="39"/>
      <c r="Y6" s="40"/>
    </row>
    <row r="7" spans="1:25" x14ac:dyDescent="0.2">
      <c r="A7" s="1"/>
      <c r="B7" s="1"/>
      <c r="C7" s="1"/>
      <c r="D7" s="1"/>
      <c r="E7" s="1"/>
      <c r="F7" s="1"/>
      <c r="G7" s="1"/>
      <c r="H7" s="1"/>
      <c r="I7" s="1"/>
      <c r="J7" s="1"/>
      <c r="K7" s="1"/>
      <c r="L7" s="1"/>
      <c r="M7" s="1" t="s">
        <v>59</v>
      </c>
      <c r="N7" s="42">
        <v>0</v>
      </c>
      <c r="O7" s="42">
        <v>2.4839159627569928E-3</v>
      </c>
      <c r="P7" s="42">
        <v>1.4350951455414083E-4</v>
      </c>
      <c r="Q7" s="42">
        <f t="shared" ref="Q7:Q21" si="0">SUM(N7:P7)</f>
        <v>2.6274254773111334E-3</v>
      </c>
      <c r="S7" s="39"/>
      <c r="W7" s="39"/>
      <c r="X7" s="39"/>
      <c r="Y7" s="40"/>
    </row>
    <row r="8" spans="1:25" x14ac:dyDescent="0.2">
      <c r="A8" s="1"/>
      <c r="B8" s="1"/>
      <c r="C8" s="1"/>
      <c r="D8" s="1"/>
      <c r="E8" s="1"/>
      <c r="F8" s="1"/>
      <c r="G8" s="1"/>
      <c r="H8" s="1"/>
      <c r="I8" s="1"/>
      <c r="J8" s="1"/>
      <c r="K8" s="1"/>
      <c r="L8" s="1"/>
      <c r="M8" s="20" t="s">
        <v>60</v>
      </c>
      <c r="N8" s="41">
        <v>0</v>
      </c>
      <c r="O8" s="41">
        <v>2.0728384576285414E-3</v>
      </c>
      <c r="P8" s="41">
        <v>0</v>
      </c>
      <c r="Q8" s="41">
        <f t="shared" si="0"/>
        <v>2.0728384576285414E-3</v>
      </c>
      <c r="S8" s="39"/>
      <c r="W8" s="39"/>
      <c r="X8" s="39"/>
      <c r="Y8" s="40"/>
    </row>
    <row r="9" spans="1:25" x14ac:dyDescent="0.2">
      <c r="A9" s="1"/>
      <c r="B9" s="1"/>
      <c r="C9" s="1"/>
      <c r="D9" s="1"/>
      <c r="E9" s="1"/>
      <c r="F9" s="1"/>
      <c r="G9" s="1"/>
      <c r="H9" s="1"/>
      <c r="I9" s="1"/>
      <c r="J9" s="1"/>
      <c r="K9" s="1"/>
      <c r="L9" s="1"/>
      <c r="M9" s="1" t="s">
        <v>61</v>
      </c>
      <c r="N9" s="42">
        <v>0</v>
      </c>
      <c r="O9" s="42">
        <v>1.9665467143656448E-3</v>
      </c>
      <c r="P9" s="42">
        <v>0</v>
      </c>
      <c r="Q9" s="42">
        <f t="shared" si="0"/>
        <v>1.9665467143656448E-3</v>
      </c>
      <c r="S9" s="39"/>
      <c r="W9" s="39"/>
      <c r="X9" s="39"/>
      <c r="Y9" s="40"/>
    </row>
    <row r="10" spans="1:25" x14ac:dyDescent="0.2">
      <c r="A10" s="1"/>
      <c r="B10" s="1"/>
      <c r="C10" s="1"/>
      <c r="D10" s="1"/>
      <c r="E10" s="1"/>
      <c r="F10" s="1"/>
      <c r="G10" s="1"/>
      <c r="H10" s="1"/>
      <c r="I10" s="1"/>
      <c r="J10" s="1"/>
      <c r="K10" s="1"/>
      <c r="L10" s="1"/>
      <c r="M10" s="20" t="s">
        <v>62</v>
      </c>
      <c r="N10" s="41">
        <v>0</v>
      </c>
      <c r="O10" s="41">
        <v>0</v>
      </c>
      <c r="P10" s="41">
        <v>9.7768440824207029E-4</v>
      </c>
      <c r="Q10" s="41">
        <f>SUM(N10:P10)</f>
        <v>9.7768440824207029E-4</v>
      </c>
      <c r="S10" s="39"/>
      <c r="W10" s="39"/>
      <c r="X10" s="39"/>
      <c r="Y10" s="40"/>
    </row>
    <row r="11" spans="1:25" x14ac:dyDescent="0.2">
      <c r="A11" s="1"/>
      <c r="B11" s="1"/>
      <c r="C11" s="1"/>
      <c r="D11" s="1"/>
      <c r="E11" s="1"/>
      <c r="F11" s="1"/>
      <c r="G11" s="1"/>
      <c r="H11" s="1"/>
      <c r="I11" s="1"/>
      <c r="J11" s="1"/>
      <c r="K11" s="1"/>
      <c r="L11" s="1"/>
      <c r="M11" s="1" t="s">
        <v>7</v>
      </c>
      <c r="N11" s="42">
        <v>7.7401769649956364E-4</v>
      </c>
      <c r="O11" s="42">
        <v>0</v>
      </c>
      <c r="P11" s="42">
        <v>0</v>
      </c>
      <c r="Q11" s="42">
        <f t="shared" si="0"/>
        <v>7.7401769649956364E-4</v>
      </c>
      <c r="S11" s="39"/>
      <c r="W11" s="39"/>
      <c r="X11" s="39"/>
      <c r="Y11" s="40"/>
    </row>
    <row r="12" spans="1:25" x14ac:dyDescent="0.2">
      <c r="A12" s="1"/>
      <c r="B12" s="1"/>
      <c r="C12" s="1"/>
      <c r="D12" s="1"/>
      <c r="E12" s="1"/>
      <c r="F12" s="1"/>
      <c r="G12" s="1"/>
      <c r="H12" s="1"/>
      <c r="I12" s="1"/>
      <c r="J12" s="1"/>
      <c r="K12" s="1"/>
      <c r="L12" s="1"/>
      <c r="M12" s="20" t="s">
        <v>63</v>
      </c>
      <c r="N12" s="41">
        <v>0</v>
      </c>
      <c r="O12" s="41">
        <v>7.2150271600160334E-4</v>
      </c>
      <c r="P12" s="41">
        <v>0</v>
      </c>
      <c r="Q12" s="41">
        <f t="shared" si="0"/>
        <v>7.2150271600160334E-4</v>
      </c>
      <c r="S12" s="39"/>
      <c r="W12" s="39"/>
      <c r="X12" s="39"/>
      <c r="Y12" s="40"/>
    </row>
    <row r="13" spans="1:25" x14ac:dyDescent="0.2">
      <c r="A13" s="1"/>
      <c r="B13" s="1"/>
      <c r="C13" s="1"/>
      <c r="D13" s="1"/>
      <c r="E13" s="1"/>
      <c r="F13" s="1"/>
      <c r="G13" s="1"/>
      <c r="H13" s="1"/>
      <c r="I13" s="1"/>
      <c r="J13" s="1"/>
      <c r="K13" s="1"/>
      <c r="L13" s="1"/>
      <c r="M13" s="1" t="s">
        <v>64</v>
      </c>
      <c r="N13" s="42">
        <v>4.8607827627805445E-4</v>
      </c>
      <c r="O13" s="42">
        <v>0</v>
      </c>
      <c r="P13" s="42">
        <v>0</v>
      </c>
      <c r="Q13" s="42">
        <f t="shared" si="0"/>
        <v>4.8607827627805445E-4</v>
      </c>
      <c r="S13" s="39"/>
      <c r="W13" s="39"/>
      <c r="X13" s="39"/>
      <c r="Y13" s="40"/>
    </row>
    <row r="14" spans="1:25" x14ac:dyDescent="0.2">
      <c r="A14" s="1"/>
      <c r="B14" s="1"/>
      <c r="C14" s="1"/>
      <c r="D14" s="1"/>
      <c r="E14" s="1"/>
      <c r="F14" s="1"/>
      <c r="G14" s="1"/>
      <c r="H14" s="1"/>
      <c r="I14" s="1"/>
      <c r="J14" s="1"/>
      <c r="K14" s="1"/>
      <c r="L14" s="1"/>
      <c r="M14" s="20" t="s">
        <v>2</v>
      </c>
      <c r="N14" s="41">
        <v>4.8154277181969307E-4</v>
      </c>
      <c r="O14" s="41">
        <v>0</v>
      </c>
      <c r="P14" s="41">
        <v>0</v>
      </c>
      <c r="Q14" s="41">
        <f t="shared" si="0"/>
        <v>4.8154277181969307E-4</v>
      </c>
      <c r="S14" s="39"/>
      <c r="W14" s="39"/>
      <c r="X14" s="39"/>
      <c r="Y14" s="40"/>
    </row>
    <row r="15" spans="1:25" x14ac:dyDescent="0.2">
      <c r="A15" s="1"/>
      <c r="B15" s="1"/>
      <c r="C15" s="1"/>
      <c r="D15" s="1"/>
      <c r="E15" s="1"/>
      <c r="F15" s="1"/>
      <c r="G15" s="1"/>
      <c r="H15" s="1"/>
      <c r="I15" s="1"/>
      <c r="J15" s="1"/>
      <c r="K15" s="1"/>
      <c r="L15" s="1"/>
      <c r="M15" s="1" t="s">
        <v>8</v>
      </c>
      <c r="N15" s="42">
        <v>3.5009991866127014E-4</v>
      </c>
      <c r="O15" s="42">
        <v>0</v>
      </c>
      <c r="P15" s="42">
        <v>0</v>
      </c>
      <c r="Q15" s="42">
        <f t="shared" si="0"/>
        <v>3.5009991866127014E-4</v>
      </c>
      <c r="S15" s="39"/>
      <c r="W15" s="39"/>
      <c r="X15" s="39"/>
      <c r="Y15" s="40"/>
    </row>
    <row r="16" spans="1:25" x14ac:dyDescent="0.2">
      <c r="A16" s="1"/>
      <c r="B16" s="1"/>
      <c r="C16" s="1"/>
      <c r="D16" s="1"/>
      <c r="E16" s="1"/>
      <c r="F16" s="1"/>
      <c r="G16" s="1"/>
      <c r="H16" s="1"/>
      <c r="I16" s="1"/>
      <c r="J16" s="1"/>
      <c r="K16" s="1"/>
      <c r="L16" s="1"/>
      <c r="M16" s="20" t="s">
        <v>6</v>
      </c>
      <c r="N16" s="41">
        <v>0</v>
      </c>
      <c r="O16" s="41">
        <v>0</v>
      </c>
      <c r="P16" s="41">
        <v>3.2706459525756336E-4</v>
      </c>
      <c r="Q16" s="41">
        <f t="shared" si="0"/>
        <v>3.2706459525756336E-4</v>
      </c>
      <c r="S16" s="39"/>
      <c r="W16" s="39"/>
      <c r="X16" s="39"/>
      <c r="Y16" s="40"/>
    </row>
    <row r="17" spans="1:25" x14ac:dyDescent="0.2">
      <c r="A17" s="1"/>
      <c r="B17" s="1"/>
      <c r="C17" s="1"/>
      <c r="D17" s="1"/>
      <c r="E17" s="1"/>
      <c r="F17" s="1"/>
      <c r="G17" s="1"/>
      <c r="H17" s="1"/>
      <c r="I17" s="1"/>
      <c r="J17" s="1"/>
      <c r="K17" s="1"/>
      <c r="L17" s="1"/>
      <c r="M17" s="1" t="s">
        <v>15</v>
      </c>
      <c r="N17" s="42">
        <v>2.0284417270519079E-4</v>
      </c>
      <c r="O17" s="42">
        <v>0</v>
      </c>
      <c r="P17" s="42">
        <v>0</v>
      </c>
      <c r="Q17" s="42">
        <f t="shared" si="0"/>
        <v>2.0284417270519079E-4</v>
      </c>
      <c r="S17" s="39"/>
      <c r="W17" s="39"/>
      <c r="X17" s="39"/>
      <c r="Y17" s="40"/>
    </row>
    <row r="18" spans="1:25" x14ac:dyDescent="0.2">
      <c r="A18" s="1"/>
      <c r="B18" s="1"/>
      <c r="C18" s="1"/>
      <c r="D18" s="1"/>
      <c r="E18" s="1"/>
      <c r="F18" s="1"/>
      <c r="G18" s="1"/>
      <c r="H18" s="1"/>
      <c r="I18" s="1"/>
      <c r="J18" s="1"/>
      <c r="K18" s="1"/>
      <c r="L18" s="1"/>
      <c r="M18" s="20" t="s">
        <v>16</v>
      </c>
      <c r="N18" s="41">
        <v>0</v>
      </c>
      <c r="O18" s="41">
        <v>0</v>
      </c>
      <c r="P18" s="41">
        <v>1.7798267588354849E-4</v>
      </c>
      <c r="Q18" s="41">
        <f t="shared" si="0"/>
        <v>1.7798267588354849E-4</v>
      </c>
      <c r="S18" s="39"/>
      <c r="W18" s="39"/>
      <c r="X18" s="39"/>
      <c r="Y18" s="40"/>
    </row>
    <row r="19" spans="1:25" x14ac:dyDescent="0.2">
      <c r="A19" s="1"/>
      <c r="B19" s="1"/>
      <c r="C19" s="1"/>
      <c r="D19" s="1"/>
      <c r="E19" s="1"/>
      <c r="F19" s="1"/>
      <c r="G19" s="1"/>
      <c r="H19" s="1"/>
      <c r="I19" s="1"/>
      <c r="J19" s="1"/>
      <c r="K19" s="1"/>
      <c r="L19" s="1"/>
      <c r="M19" s="1" t="s">
        <v>5</v>
      </c>
      <c r="N19" s="42">
        <v>0</v>
      </c>
      <c r="O19" s="42">
        <v>0</v>
      </c>
      <c r="P19" s="42">
        <v>5.2213537961842272E-5</v>
      </c>
      <c r="Q19" s="42">
        <f t="shared" si="0"/>
        <v>5.2213537961842272E-5</v>
      </c>
      <c r="S19" s="40"/>
      <c r="W19" s="39"/>
      <c r="X19" s="39"/>
      <c r="Y19" s="40"/>
    </row>
    <row r="20" spans="1:25" ht="12.75" customHeight="1" x14ac:dyDescent="0.2">
      <c r="A20" s="67" t="s">
        <v>68</v>
      </c>
      <c r="B20" s="67"/>
      <c r="C20" s="67"/>
      <c r="D20" s="67"/>
      <c r="E20" s="67"/>
      <c r="F20" s="67"/>
      <c r="G20" s="67"/>
      <c r="H20" s="67"/>
      <c r="I20" s="67"/>
      <c r="J20" s="67"/>
      <c r="K20" s="38"/>
      <c r="L20" s="1"/>
      <c r="M20" s="20" t="s">
        <v>41</v>
      </c>
      <c r="N20" s="41">
        <v>0</v>
      </c>
      <c r="O20" s="41">
        <v>5.1016702213103546E-6</v>
      </c>
      <c r="P20" s="41">
        <v>0</v>
      </c>
      <c r="Q20" s="41">
        <f t="shared" si="0"/>
        <v>5.1016702213103546E-6</v>
      </c>
      <c r="S20" s="39"/>
      <c r="W20" s="39"/>
      <c r="X20" s="39"/>
      <c r="Y20" s="40"/>
    </row>
    <row r="21" spans="1:25" ht="12.75" customHeight="1" x14ac:dyDescent="0.2">
      <c r="A21" s="67"/>
      <c r="B21" s="67"/>
      <c r="C21" s="67"/>
      <c r="D21" s="67"/>
      <c r="E21" s="67"/>
      <c r="F21" s="67"/>
      <c r="G21" s="67"/>
      <c r="H21" s="67"/>
      <c r="I21" s="67"/>
      <c r="J21" s="67"/>
      <c r="K21" s="38"/>
      <c r="L21" s="1"/>
      <c r="M21" s="1" t="s">
        <v>18</v>
      </c>
      <c r="N21" s="42">
        <v>2.158179451673592E-6</v>
      </c>
      <c r="O21" s="42">
        <v>0</v>
      </c>
      <c r="P21" s="42">
        <v>0</v>
      </c>
      <c r="Q21" s="42">
        <f t="shared" si="0"/>
        <v>2.158179451673592E-6</v>
      </c>
      <c r="S21" s="39"/>
      <c r="W21" s="39"/>
      <c r="X21" s="39"/>
      <c r="Y21" s="39"/>
    </row>
    <row r="22" spans="1:25" ht="12.75" customHeight="1" x14ac:dyDescent="0.2">
      <c r="A22" s="67"/>
      <c r="B22" s="67"/>
      <c r="C22" s="67"/>
      <c r="D22" s="67"/>
      <c r="E22" s="67"/>
      <c r="F22" s="67"/>
      <c r="G22" s="67"/>
      <c r="H22" s="67"/>
      <c r="I22" s="67"/>
      <c r="J22" s="67"/>
      <c r="K22" s="38"/>
      <c r="L22" s="1"/>
      <c r="M22" s="15"/>
      <c r="N22" s="15"/>
      <c r="O22" s="16"/>
      <c r="P22" s="34"/>
      <c r="Q22" s="35"/>
      <c r="R22" s="35"/>
      <c r="S22" s="39"/>
      <c r="T22" s="39"/>
      <c r="U22" s="39"/>
      <c r="V22" s="39"/>
      <c r="W22" s="39"/>
      <c r="X22" s="39"/>
      <c r="Y22" s="39"/>
    </row>
    <row r="23" spans="1:25" ht="12.75" customHeight="1" x14ac:dyDescent="0.2">
      <c r="A23" s="67"/>
      <c r="B23" s="67"/>
      <c r="C23" s="67"/>
      <c r="D23" s="67"/>
      <c r="E23" s="67"/>
      <c r="F23" s="67"/>
      <c r="G23" s="67"/>
      <c r="H23" s="67"/>
      <c r="I23" s="67"/>
      <c r="J23" s="67"/>
      <c r="K23" s="38"/>
      <c r="L23" s="1"/>
      <c r="M23" s="15"/>
      <c r="N23" s="15"/>
      <c r="O23" s="16"/>
      <c r="P23" s="34"/>
      <c r="Q23" s="35"/>
      <c r="R23" s="35"/>
      <c r="S23" s="39"/>
      <c r="T23" s="39"/>
      <c r="U23" s="39"/>
      <c r="V23" s="39"/>
      <c r="W23" s="39"/>
      <c r="X23" s="39"/>
      <c r="Y23" s="39"/>
    </row>
    <row r="24" spans="1:25" ht="12.75" customHeight="1" x14ac:dyDescent="0.2">
      <c r="A24" s="67"/>
      <c r="B24" s="67"/>
      <c r="C24" s="67"/>
      <c r="D24" s="67"/>
      <c r="E24" s="67"/>
      <c r="F24" s="67"/>
      <c r="G24" s="67"/>
      <c r="H24" s="67"/>
      <c r="I24" s="67"/>
      <c r="J24" s="67"/>
      <c r="K24" s="38"/>
      <c r="L24" s="1"/>
      <c r="M24" s="15"/>
      <c r="N24" s="15"/>
      <c r="O24" s="16"/>
      <c r="P24" s="34"/>
      <c r="R24" s="35"/>
      <c r="S24" s="35"/>
      <c r="T24" s="39"/>
      <c r="U24" s="39"/>
      <c r="V24" s="39"/>
      <c r="W24" s="39"/>
      <c r="X24" s="39"/>
      <c r="Y24" s="39"/>
    </row>
    <row r="25" spans="1:25" s="50" customFormat="1" ht="14.25" customHeight="1" x14ac:dyDescent="0.2">
      <c r="A25" s="67"/>
      <c r="B25" s="67"/>
      <c r="C25" s="67"/>
      <c r="D25" s="67"/>
      <c r="E25" s="67"/>
      <c r="F25" s="67"/>
      <c r="G25" s="67"/>
      <c r="H25" s="67"/>
      <c r="I25" s="67"/>
      <c r="J25" s="67"/>
      <c r="K25" s="44"/>
      <c r="L25" s="45"/>
      <c r="M25" s="45"/>
      <c r="N25" s="45"/>
      <c r="O25" s="46"/>
      <c r="P25" s="47"/>
      <c r="Q25" s="48"/>
      <c r="R25" s="48"/>
      <c r="S25" s="49"/>
      <c r="T25" s="49"/>
      <c r="U25" s="49"/>
      <c r="V25" s="49"/>
      <c r="W25" s="49"/>
      <c r="X25" s="49"/>
      <c r="Y25" s="49"/>
    </row>
    <row r="26" spans="1:25" ht="26.25" customHeight="1" x14ac:dyDescent="0.2">
      <c r="A26" s="67"/>
      <c r="B26" s="67"/>
      <c r="C26" s="67"/>
      <c r="D26" s="67"/>
      <c r="E26" s="67"/>
      <c r="F26" s="67"/>
      <c r="G26" s="67"/>
      <c r="H26" s="67"/>
      <c r="I26" s="67"/>
      <c r="J26" s="67"/>
      <c r="K26" s="38"/>
      <c r="L26" s="1"/>
      <c r="M26" s="15"/>
      <c r="N26" s="15"/>
      <c r="O26" s="16"/>
      <c r="P26" s="34"/>
      <c r="Q26" s="35"/>
      <c r="R26" s="35"/>
      <c r="S26" s="39"/>
      <c r="T26" s="39"/>
      <c r="U26" s="39"/>
      <c r="V26" s="39"/>
      <c r="W26" s="39"/>
      <c r="X26" s="39"/>
      <c r="Y26" s="39"/>
    </row>
    <row r="27" spans="1:25" ht="12.6" customHeight="1" x14ac:dyDescent="0.25">
      <c r="A27" s="26" t="s">
        <v>20</v>
      </c>
      <c r="B27" s="27"/>
      <c r="C27" s="27"/>
      <c r="D27" s="27"/>
      <c r="E27" s="27"/>
      <c r="F27" s="27"/>
      <c r="G27" s="27"/>
      <c r="H27" s="27"/>
      <c r="I27" s="27"/>
      <c r="J27" s="28"/>
      <c r="K27" s="28"/>
      <c r="L27" s="1"/>
      <c r="M27" s="15"/>
      <c r="N27" s="15"/>
      <c r="O27" s="16"/>
      <c r="P27" s="34"/>
      <c r="Q27" s="35"/>
      <c r="R27" s="35"/>
      <c r="S27" s="39"/>
      <c r="T27" s="39"/>
      <c r="U27" s="39"/>
      <c r="V27" s="39"/>
      <c r="W27" s="39"/>
      <c r="X27" s="39"/>
      <c r="Y27" s="39"/>
    </row>
    <row r="28" spans="1:25" ht="12.75" customHeight="1" x14ac:dyDescent="0.2">
      <c r="A28" s="25"/>
      <c r="B28" s="25"/>
      <c r="C28" s="25"/>
      <c r="D28" s="25"/>
      <c r="E28" s="25"/>
      <c r="F28" s="25"/>
      <c r="G28" s="25"/>
      <c r="H28" s="25"/>
      <c r="I28" s="25"/>
      <c r="J28" s="1"/>
      <c r="K28" s="1"/>
      <c r="L28" s="1"/>
      <c r="M28" s="15"/>
      <c r="N28" s="15"/>
      <c r="O28" s="16"/>
      <c r="P28" s="34"/>
      <c r="Q28" s="35"/>
      <c r="R28" s="35"/>
      <c r="S28" s="39"/>
      <c r="T28" s="39"/>
      <c r="U28" s="39"/>
      <c r="V28" s="39"/>
      <c r="W28" s="39"/>
      <c r="X28" s="39"/>
      <c r="Y28" s="39"/>
    </row>
    <row r="29" spans="1:25" ht="13.5" x14ac:dyDescent="0.2">
      <c r="A29" s="25"/>
      <c r="B29" s="25"/>
      <c r="C29" s="25"/>
      <c r="D29" s="25"/>
      <c r="E29" s="25"/>
      <c r="F29" s="25"/>
      <c r="G29" s="25"/>
      <c r="H29" s="25"/>
      <c r="I29" s="25"/>
      <c r="M29" s="15"/>
      <c r="N29" s="15"/>
      <c r="O29" s="16"/>
      <c r="P29" s="34"/>
      <c r="Q29" s="35"/>
      <c r="R29" s="35"/>
      <c r="S29" s="39"/>
      <c r="T29" s="36"/>
      <c r="U29" s="36"/>
      <c r="V29" s="36"/>
      <c r="W29" s="36"/>
      <c r="X29" s="36"/>
      <c r="Y29" s="36"/>
    </row>
    <row r="30" spans="1:25" ht="13.5" x14ac:dyDescent="0.25">
      <c r="A30" s="51" t="s">
        <v>66</v>
      </c>
      <c r="B30" s="24"/>
      <c r="C30" s="24"/>
      <c r="D30" s="24"/>
      <c r="E30" s="24"/>
      <c r="F30" s="24"/>
      <c r="G30" s="24"/>
      <c r="H30" s="24"/>
      <c r="I30" s="24"/>
      <c r="M30" s="15"/>
      <c r="N30" s="15"/>
      <c r="O30" s="16"/>
      <c r="P30" s="34"/>
      <c r="Q30" s="35"/>
      <c r="R30" s="35"/>
      <c r="S30" s="39"/>
      <c r="T30" s="36"/>
      <c r="U30" s="36"/>
      <c r="V30" s="36"/>
      <c r="W30" s="36"/>
      <c r="X30" s="36"/>
      <c r="Y30" s="36"/>
    </row>
    <row r="31" spans="1:25" ht="13.5" x14ac:dyDescent="0.25">
      <c r="B31" s="18"/>
      <c r="C31" s="18"/>
      <c r="D31" s="18"/>
      <c r="E31" s="18"/>
      <c r="F31" s="18"/>
      <c r="G31" s="18"/>
      <c r="H31" s="18"/>
      <c r="I31" s="18"/>
      <c r="M31" s="15"/>
      <c r="N31" s="15"/>
      <c r="O31" s="16"/>
      <c r="P31" s="34"/>
      <c r="Q31" s="35"/>
      <c r="R31" s="35"/>
      <c r="S31" s="39"/>
      <c r="T31" s="36"/>
      <c r="U31" s="36"/>
      <c r="V31" s="36"/>
      <c r="W31" s="36"/>
      <c r="X31" s="36"/>
      <c r="Y31" s="36"/>
    </row>
    <row r="32" spans="1:25" ht="13.5" x14ac:dyDescent="0.25">
      <c r="A32" s="62" t="s">
        <v>67</v>
      </c>
      <c r="B32" s="62"/>
      <c r="C32" s="62"/>
      <c r="D32" s="62"/>
      <c r="E32" s="62"/>
      <c r="F32" s="62"/>
      <c r="G32" s="62"/>
      <c r="H32" s="62"/>
      <c r="I32" s="18"/>
      <c r="M32" s="15"/>
      <c r="N32" s="15"/>
      <c r="O32" s="16"/>
      <c r="P32" s="34"/>
      <c r="Q32" s="34"/>
      <c r="R32" s="35"/>
      <c r="S32" s="37"/>
      <c r="X32" s="23"/>
      <c r="Y32" s="36"/>
    </row>
    <row r="33" spans="1:25" ht="13.5" x14ac:dyDescent="0.25">
      <c r="A33" s="62"/>
      <c r="B33" s="62"/>
      <c r="C33" s="62"/>
      <c r="D33" s="62"/>
      <c r="E33" s="62"/>
      <c r="F33" s="62"/>
      <c r="G33" s="62"/>
      <c r="H33" s="62"/>
      <c r="I33" s="21"/>
      <c r="M33" s="15"/>
      <c r="N33" s="15"/>
      <c r="O33" s="16"/>
      <c r="P33" s="34"/>
      <c r="Q33" s="35"/>
      <c r="R33" s="35"/>
      <c r="S33" s="37"/>
      <c r="X33" s="23"/>
      <c r="Y33" s="36"/>
    </row>
    <row r="34" spans="1:25" ht="13.5" x14ac:dyDescent="0.25">
      <c r="B34" s="21"/>
      <c r="C34" s="21"/>
      <c r="D34" s="21"/>
      <c r="E34" s="21"/>
      <c r="F34" s="21"/>
      <c r="G34" s="21"/>
      <c r="H34" s="21"/>
      <c r="I34" s="21"/>
      <c r="M34" s="15"/>
      <c r="R34" s="35"/>
      <c r="S34" s="37"/>
      <c r="X34" s="23"/>
      <c r="Y34" s="36"/>
    </row>
    <row r="35" spans="1:25" x14ac:dyDescent="0.2">
      <c r="R35" s="35"/>
      <c r="S35" s="37"/>
      <c r="X35" s="23"/>
      <c r="Y35" s="36"/>
    </row>
    <row r="36" spans="1:25" x14ac:dyDescent="0.2">
      <c r="R36" s="35"/>
      <c r="S36" s="37"/>
      <c r="X36" s="23"/>
      <c r="Y36" s="36"/>
    </row>
    <row r="37" spans="1:25" x14ac:dyDescent="0.2">
      <c r="R37" s="35"/>
      <c r="S37" s="37"/>
      <c r="X37" s="23"/>
      <c r="Y37" s="36"/>
    </row>
    <row r="38" spans="1:25" x14ac:dyDescent="0.2">
      <c r="R38" s="35"/>
      <c r="S38" s="37"/>
      <c r="X38" s="23"/>
      <c r="Y38" s="36"/>
    </row>
    <row r="39" spans="1:25" x14ac:dyDescent="0.2">
      <c r="R39" s="35"/>
      <c r="S39" s="37"/>
      <c r="X39" s="23"/>
      <c r="Y39" s="36"/>
    </row>
    <row r="40" spans="1:25" x14ac:dyDescent="0.2">
      <c r="R40" s="35"/>
      <c r="S40" s="37"/>
      <c r="X40" s="23"/>
      <c r="Y40" s="36"/>
    </row>
    <row r="41" spans="1:25" x14ac:dyDescent="0.2">
      <c r="R41" s="35"/>
      <c r="S41" s="37"/>
      <c r="X41" s="23"/>
      <c r="Y41" s="36"/>
    </row>
    <row r="42" spans="1:25" x14ac:dyDescent="0.2">
      <c r="S42" s="37"/>
      <c r="X42" s="23"/>
    </row>
    <row r="43" spans="1:25" x14ac:dyDescent="0.2">
      <c r="S43" s="37"/>
      <c r="X43" s="23"/>
    </row>
    <row r="44" spans="1:25" x14ac:dyDescent="0.2">
      <c r="S44" s="37"/>
      <c r="X44" s="23"/>
    </row>
    <row r="45" spans="1:25" x14ac:dyDescent="0.2">
      <c r="S45" s="37"/>
      <c r="X45" s="23"/>
    </row>
    <row r="46" spans="1:25" x14ac:dyDescent="0.2">
      <c r="S46" s="37"/>
      <c r="X46" s="23"/>
    </row>
    <row r="47" spans="1:25" x14ac:dyDescent="0.2">
      <c r="S47" s="37"/>
      <c r="X47" s="23"/>
    </row>
    <row r="48" spans="1:25" x14ac:dyDescent="0.2">
      <c r="S48" s="37"/>
      <c r="X48" s="23"/>
    </row>
    <row r="49" spans="19:24" x14ac:dyDescent="0.2">
      <c r="S49" s="37"/>
      <c r="X49" s="23"/>
    </row>
    <row r="50" spans="19:24" x14ac:dyDescent="0.2">
      <c r="S50" s="37"/>
      <c r="X50" s="23"/>
    </row>
    <row r="51" spans="19:24" x14ac:dyDescent="0.2">
      <c r="S51" s="37"/>
      <c r="X51" s="23"/>
    </row>
    <row r="52" spans="19:24" x14ac:dyDescent="0.2">
      <c r="S52" s="37"/>
      <c r="X52" s="23"/>
    </row>
    <row r="53" spans="19:24" x14ac:dyDescent="0.2">
      <c r="S53" s="37"/>
      <c r="X53" s="23"/>
    </row>
    <row r="54" spans="19:24" x14ac:dyDescent="0.2">
      <c r="S54" s="37"/>
      <c r="X54" s="23"/>
    </row>
    <row r="55" spans="19:24" x14ac:dyDescent="0.2">
      <c r="S55" s="37"/>
      <c r="X55" s="23"/>
    </row>
    <row r="56" spans="19:24" x14ac:dyDescent="0.2">
      <c r="S56" s="37"/>
      <c r="X56" s="23"/>
    </row>
    <row r="57" spans="19:24" x14ac:dyDescent="0.2">
      <c r="S57" s="37"/>
      <c r="X57" s="23"/>
    </row>
    <row r="65" spans="15:17" x14ac:dyDescent="0.2">
      <c r="O65" s="12"/>
      <c r="Q65" s="33"/>
    </row>
    <row r="66" spans="15:17" x14ac:dyDescent="0.2">
      <c r="O66" s="12"/>
      <c r="Q66" s="33"/>
    </row>
    <row r="67" spans="15:17" x14ac:dyDescent="0.2">
      <c r="O67" s="12"/>
      <c r="Q67" s="33"/>
    </row>
    <row r="68" spans="15:17" x14ac:dyDescent="0.2">
      <c r="O68" s="12"/>
      <c r="Q68" s="33"/>
    </row>
    <row r="69" spans="15:17" x14ac:dyDescent="0.2">
      <c r="O69" s="12"/>
      <c r="Q69" s="33"/>
    </row>
    <row r="70" spans="15:17" x14ac:dyDescent="0.2">
      <c r="O70" s="12"/>
      <c r="Q70" s="33"/>
    </row>
    <row r="71" spans="15:17" x14ac:dyDescent="0.2">
      <c r="O71" s="12"/>
      <c r="Q71" s="33"/>
    </row>
    <row r="72" spans="15:17" x14ac:dyDescent="0.2">
      <c r="O72" s="12"/>
      <c r="Q72" s="33"/>
    </row>
    <row r="73" spans="15:17" x14ac:dyDescent="0.2">
      <c r="O73" s="12"/>
      <c r="Q73" s="33"/>
    </row>
    <row r="74" spans="15:17" x14ac:dyDescent="0.2">
      <c r="O74" s="12"/>
      <c r="Q74" s="33"/>
    </row>
    <row r="75" spans="15:17" x14ac:dyDescent="0.2">
      <c r="O75" s="12"/>
    </row>
    <row r="76" spans="15:17" x14ac:dyDescent="0.2">
      <c r="O76" s="12"/>
    </row>
    <row r="77" spans="15:17" x14ac:dyDescent="0.2">
      <c r="O77" s="12"/>
    </row>
    <row r="78" spans="15:17" x14ac:dyDescent="0.2">
      <c r="O78" s="12"/>
    </row>
    <row r="79" spans="15:17" x14ac:dyDescent="0.2">
      <c r="O79" s="12"/>
    </row>
    <row r="80" spans="15:17" x14ac:dyDescent="0.2">
      <c r="O80" s="12"/>
    </row>
  </sheetData>
  <sortState xmlns:xlrd2="http://schemas.microsoft.com/office/spreadsheetml/2017/richdata2" ref="M6:N21">
    <sortCondition descending="1" ref="N6:N21"/>
  </sortState>
  <mergeCells count="6">
    <mergeCell ref="A32:H33"/>
    <mergeCell ref="M3:Q3"/>
    <mergeCell ref="M1:Q2"/>
    <mergeCell ref="A1:I2"/>
    <mergeCell ref="A3:I3"/>
    <mergeCell ref="A20:J26"/>
  </mergeCells>
  <hyperlinks>
    <hyperlink ref="A30" r:id="rId1" xr:uid="{F7210A53-C712-42E8-AB2F-E24F7F5BBE9D}"/>
  </hyperlinks>
  <pageMargins left="0.70866141732283472" right="0.70866141732283472" top="0.74803149606299213" bottom="0.74803149606299213" header="0.31496062992125984" footer="0.31496062992125984"/>
  <pageSetup paperSize="9" orientation="landscape" r:id="rId2"/>
  <headerFooter>
    <oddHeader>&amp;COECD Affordable Housing Database, http://oe.cd/ahd</oddHeader>
    <oddFooter>&amp;C_x000D_&amp;1#&amp;"Calibri"&amp;10&amp;K0000FF Restricted Use - À usage restreint&amp;R&amp;F - &amp;A</oddFooter>
  </headerFooter>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Q34"/>
  <sheetViews>
    <sheetView showGridLines="0" zoomScaleNormal="100" workbookViewId="0">
      <selection activeCell="K26" sqref="K26"/>
    </sheetView>
  </sheetViews>
  <sheetFormatPr defaultColWidth="8.7109375" defaultRowHeight="12.75" x14ac:dyDescent="0.2"/>
  <cols>
    <col min="1" max="11" width="8.7109375" style="3"/>
    <col min="12" max="12" width="9.140625" style="3" customWidth="1"/>
    <col min="13" max="13" width="12.42578125" style="3" customWidth="1"/>
    <col min="14" max="14" width="11.42578125" style="3" customWidth="1"/>
    <col min="15" max="15" width="13.5703125" style="3" customWidth="1"/>
    <col min="16" max="16384" width="8.7109375" style="3"/>
  </cols>
  <sheetData>
    <row r="1" spans="1:17" ht="16.5" customHeight="1" x14ac:dyDescent="0.2">
      <c r="A1" s="65" t="s">
        <v>0</v>
      </c>
      <c r="B1" s="63"/>
      <c r="C1" s="63"/>
      <c r="D1" s="63"/>
      <c r="E1" s="63"/>
      <c r="F1" s="63"/>
      <c r="G1" s="63"/>
      <c r="H1" s="63"/>
      <c r="I1" s="63"/>
      <c r="J1" s="1"/>
      <c r="K1" s="68" t="s">
        <v>4</v>
      </c>
      <c r="L1" s="69"/>
      <c r="M1" s="69"/>
      <c r="N1" s="69"/>
      <c r="O1" s="69"/>
      <c r="P1" s="69"/>
      <c r="Q1" s="69"/>
    </row>
    <row r="2" spans="1:17" ht="18" customHeight="1" x14ac:dyDescent="0.2">
      <c r="A2" s="63"/>
      <c r="B2" s="63"/>
      <c r="C2" s="63"/>
      <c r="D2" s="63"/>
      <c r="E2" s="63"/>
      <c r="F2" s="63"/>
      <c r="G2" s="63"/>
      <c r="H2" s="63"/>
      <c r="I2" s="63"/>
      <c r="J2" s="1"/>
      <c r="K2" s="69"/>
      <c r="L2" s="69"/>
      <c r="M2" s="69"/>
      <c r="N2" s="69"/>
      <c r="O2" s="69"/>
      <c r="P2" s="69"/>
      <c r="Q2" s="69"/>
    </row>
    <row r="3" spans="1:17" ht="13.5" x14ac:dyDescent="0.2">
      <c r="A3" s="66" t="s">
        <v>24</v>
      </c>
      <c r="B3" s="66"/>
      <c r="C3" s="66"/>
      <c r="D3" s="66"/>
      <c r="E3" s="66"/>
      <c r="F3" s="66"/>
      <c r="G3" s="66"/>
      <c r="H3" s="66"/>
      <c r="I3" s="66"/>
      <c r="J3" s="1"/>
      <c r="K3" s="70" t="s">
        <v>24</v>
      </c>
      <c r="L3" s="69"/>
      <c r="M3" s="69"/>
      <c r="N3" s="69"/>
      <c r="O3" s="69"/>
      <c r="P3" s="69"/>
      <c r="Q3" s="69"/>
    </row>
    <row r="4" spans="1:17" x14ac:dyDescent="0.2">
      <c r="A4" s="1"/>
      <c r="B4" s="1"/>
      <c r="C4" s="1"/>
      <c r="D4" s="1"/>
      <c r="E4" s="1"/>
      <c r="F4" s="1"/>
      <c r="G4" s="1"/>
      <c r="H4" s="1"/>
      <c r="I4" s="1"/>
      <c r="J4" s="1"/>
      <c r="M4" s="13"/>
      <c r="N4" s="17" t="s">
        <v>13</v>
      </c>
      <c r="O4" s="17" t="s">
        <v>25</v>
      </c>
      <c r="P4" s="8"/>
    </row>
    <row r="5" spans="1:17" x14ac:dyDescent="0.2">
      <c r="A5" s="1"/>
      <c r="B5" s="1"/>
      <c r="C5" s="1"/>
      <c r="D5" s="1"/>
      <c r="E5" s="1"/>
      <c r="F5" s="1"/>
      <c r="G5" s="1"/>
      <c r="H5" s="1"/>
      <c r="I5" s="1"/>
      <c r="J5" s="1"/>
      <c r="M5" s="8"/>
      <c r="N5" s="8"/>
      <c r="O5" s="8"/>
      <c r="P5" s="8"/>
    </row>
    <row r="6" spans="1:17" x14ac:dyDescent="0.2">
      <c r="A6" s="1"/>
      <c r="B6" s="1"/>
      <c r="C6" s="1"/>
      <c r="D6" s="1"/>
      <c r="E6" s="1"/>
      <c r="F6" s="1"/>
      <c r="G6" s="1"/>
      <c r="H6" s="1"/>
      <c r="I6" s="1"/>
      <c r="J6" s="1"/>
      <c r="M6" s="6" t="s">
        <v>21</v>
      </c>
      <c r="N6" s="4">
        <v>5.2054897648870996E-3</v>
      </c>
      <c r="O6" s="4">
        <v>2.6274254773111334E-3</v>
      </c>
      <c r="Q6" s="22"/>
    </row>
    <row r="7" spans="1:17" x14ac:dyDescent="0.2">
      <c r="A7" s="1"/>
      <c r="B7" s="1"/>
      <c r="C7" s="1"/>
      <c r="D7" s="1"/>
      <c r="E7" s="1"/>
      <c r="F7" s="1"/>
      <c r="G7" s="1"/>
      <c r="H7" s="1"/>
      <c r="I7" s="1"/>
      <c r="J7" s="1"/>
      <c r="M7" s="7" t="s">
        <v>60</v>
      </c>
      <c r="N7" s="5">
        <v>3.385523388238307E-3</v>
      </c>
      <c r="O7" s="5">
        <v>2.0728384576285414E-3</v>
      </c>
      <c r="Q7" s="22"/>
    </row>
    <row r="8" spans="1:17" x14ac:dyDescent="0.2">
      <c r="A8" s="1"/>
      <c r="B8" s="1"/>
      <c r="C8" s="1"/>
      <c r="D8" s="1"/>
      <c r="E8" s="1"/>
      <c r="F8" s="1"/>
      <c r="G8" s="1"/>
      <c r="H8" s="1"/>
      <c r="I8" s="1"/>
      <c r="J8" s="1"/>
      <c r="M8" s="6" t="s">
        <v>22</v>
      </c>
      <c r="N8" s="4">
        <v>1.2035224162758628E-3</v>
      </c>
      <c r="O8" s="4">
        <v>9.7768440824207029E-4</v>
      </c>
      <c r="Q8" s="22"/>
    </row>
    <row r="9" spans="1:17" x14ac:dyDescent="0.2">
      <c r="A9" s="1"/>
      <c r="B9" s="1"/>
      <c r="C9" s="1"/>
      <c r="D9" s="1"/>
      <c r="E9" s="1"/>
      <c r="F9" s="1"/>
      <c r="G9" s="1"/>
      <c r="H9" s="1"/>
      <c r="I9" s="1"/>
      <c r="J9" s="1"/>
      <c r="M9" s="7" t="s">
        <v>8</v>
      </c>
      <c r="N9" s="5">
        <v>4.3513398507230279E-4</v>
      </c>
      <c r="O9" s="5">
        <v>3.5009991866127014E-4</v>
      </c>
      <c r="Q9" s="22"/>
    </row>
    <row r="10" spans="1:17" x14ac:dyDescent="0.2">
      <c r="A10" s="1"/>
      <c r="B10" s="1"/>
      <c r="C10" s="1"/>
      <c r="D10" s="1"/>
      <c r="E10" s="1"/>
      <c r="F10" s="1"/>
      <c r="G10" s="1"/>
      <c r="H10" s="1"/>
      <c r="I10" s="1"/>
      <c r="J10" s="1"/>
      <c r="M10" s="13"/>
      <c r="N10" s="14"/>
      <c r="O10" s="14"/>
      <c r="Q10" s="22"/>
    </row>
    <row r="11" spans="1:17" x14ac:dyDescent="0.2">
      <c r="A11" s="1"/>
      <c r="B11" s="1"/>
      <c r="C11" s="1"/>
      <c r="D11" s="1"/>
      <c r="E11" s="1"/>
      <c r="F11" s="1"/>
      <c r="G11" s="1"/>
      <c r="H11" s="1"/>
      <c r="I11" s="1"/>
      <c r="J11" s="1"/>
      <c r="M11" s="13"/>
      <c r="N11" s="14"/>
      <c r="O11" s="14"/>
    </row>
    <row r="12" spans="1:17" x14ac:dyDescent="0.2">
      <c r="A12" s="1"/>
      <c r="B12" s="1"/>
      <c r="C12" s="1"/>
      <c r="D12" s="1"/>
      <c r="E12" s="1"/>
      <c r="F12" s="1"/>
      <c r="G12" s="1"/>
      <c r="H12" s="1"/>
      <c r="I12" s="1"/>
      <c r="J12" s="1"/>
      <c r="M12" s="13"/>
      <c r="N12" s="14"/>
      <c r="O12" s="14"/>
    </row>
    <row r="13" spans="1:17" x14ac:dyDescent="0.2">
      <c r="A13" s="1"/>
      <c r="B13" s="1"/>
      <c r="C13" s="1"/>
      <c r="D13" s="1"/>
      <c r="E13" s="1"/>
      <c r="F13" s="1"/>
      <c r="G13" s="1"/>
      <c r="H13" s="1"/>
      <c r="I13" s="1"/>
      <c r="J13" s="1"/>
      <c r="M13" s="13"/>
      <c r="N13" s="14"/>
      <c r="O13" s="14"/>
    </row>
    <row r="14" spans="1:17" x14ac:dyDescent="0.2">
      <c r="A14" s="1"/>
      <c r="B14" s="1"/>
      <c r="C14" s="1"/>
      <c r="D14" s="1"/>
      <c r="E14" s="1"/>
      <c r="F14" s="1"/>
      <c r="G14" s="1"/>
      <c r="H14" s="1"/>
      <c r="I14" s="1"/>
      <c r="J14" s="1"/>
      <c r="M14" s="13"/>
      <c r="N14" s="14"/>
      <c r="O14" s="14"/>
    </row>
    <row r="15" spans="1:17" x14ac:dyDescent="0.2">
      <c r="A15" s="1"/>
      <c r="B15" s="1"/>
      <c r="C15" s="1"/>
      <c r="D15" s="1"/>
      <c r="E15" s="1"/>
      <c r="F15" s="1"/>
      <c r="G15" s="1"/>
      <c r="H15" s="1"/>
      <c r="I15" s="1"/>
      <c r="J15" s="1"/>
      <c r="M15" s="13"/>
      <c r="N15" s="14"/>
      <c r="O15" s="14"/>
    </row>
    <row r="16" spans="1:17" x14ac:dyDescent="0.2">
      <c r="A16" s="1"/>
      <c r="B16" s="1"/>
      <c r="C16" s="1"/>
      <c r="D16" s="1"/>
      <c r="E16" s="1"/>
      <c r="F16" s="1"/>
      <c r="G16" s="1"/>
      <c r="H16" s="1"/>
      <c r="I16" s="1"/>
      <c r="J16" s="1"/>
      <c r="M16" s="8"/>
      <c r="N16" s="14"/>
      <c r="O16" s="14"/>
    </row>
    <row r="17" spans="1:15" x14ac:dyDescent="0.2">
      <c r="A17" s="1"/>
      <c r="B17" s="1"/>
      <c r="C17" s="1"/>
      <c r="D17" s="1"/>
      <c r="E17" s="1"/>
      <c r="F17" s="1"/>
      <c r="G17" s="1"/>
      <c r="H17" s="1"/>
      <c r="I17" s="1"/>
      <c r="J17" s="1"/>
      <c r="N17" s="14"/>
      <c r="O17" s="14"/>
    </row>
    <row r="18" spans="1:15" x14ac:dyDescent="0.2">
      <c r="A18" s="1"/>
      <c r="B18" s="1"/>
      <c r="C18" s="1"/>
      <c r="D18" s="1"/>
      <c r="E18" s="1"/>
      <c r="F18" s="1"/>
      <c r="G18" s="1"/>
      <c r="H18" s="1"/>
      <c r="I18" s="1"/>
      <c r="J18" s="1"/>
      <c r="M18" s="9"/>
      <c r="N18" s="11"/>
      <c r="O18" s="10"/>
    </row>
    <row r="19" spans="1:15" x14ac:dyDescent="0.2">
      <c r="A19" s="1"/>
      <c r="B19" s="1"/>
      <c r="C19" s="1"/>
      <c r="D19" s="1"/>
      <c r="E19" s="1"/>
      <c r="F19" s="1"/>
      <c r="G19" s="1"/>
      <c r="H19" s="1"/>
      <c r="I19" s="1"/>
      <c r="J19" s="1"/>
      <c r="M19" s="2"/>
      <c r="N19" s="4"/>
      <c r="O19" s="4"/>
    </row>
    <row r="20" spans="1:15" x14ac:dyDescent="0.2">
      <c r="A20" s="1"/>
      <c r="B20" s="1"/>
      <c r="C20" s="1"/>
      <c r="D20" s="1"/>
      <c r="E20" s="1"/>
      <c r="F20" s="1"/>
      <c r="G20" s="1"/>
      <c r="H20" s="1"/>
      <c r="I20" s="1"/>
      <c r="J20" s="1"/>
      <c r="M20" s="2"/>
      <c r="N20" s="4"/>
      <c r="O20" s="4"/>
    </row>
    <row r="21" spans="1:15" ht="12.75" customHeight="1" x14ac:dyDescent="0.2">
      <c r="A21" s="71" t="s">
        <v>71</v>
      </c>
      <c r="B21" s="71"/>
      <c r="C21" s="71"/>
      <c r="D21" s="71"/>
      <c r="E21" s="71"/>
      <c r="F21" s="71"/>
      <c r="G21" s="71"/>
      <c r="H21" s="71"/>
      <c r="I21" s="71"/>
      <c r="J21" s="2"/>
      <c r="M21" s="2"/>
      <c r="N21" s="4"/>
      <c r="O21" s="4"/>
    </row>
    <row r="22" spans="1:15" ht="12.75" customHeight="1" x14ac:dyDescent="0.2">
      <c r="A22" s="71"/>
      <c r="B22" s="71"/>
      <c r="C22" s="71"/>
      <c r="D22" s="71"/>
      <c r="E22" s="71"/>
      <c r="F22" s="71"/>
      <c r="G22" s="71"/>
      <c r="H22" s="71"/>
      <c r="I22" s="71"/>
      <c r="J22" s="2"/>
      <c r="M22" s="2"/>
      <c r="N22" s="4"/>
      <c r="O22" s="4"/>
    </row>
    <row r="23" spans="1:15" ht="12.75" customHeight="1" x14ac:dyDescent="0.2">
      <c r="A23" s="71"/>
      <c r="B23" s="71"/>
      <c r="C23" s="71"/>
      <c r="D23" s="71"/>
      <c r="E23" s="71"/>
      <c r="F23" s="71"/>
      <c r="G23" s="71"/>
      <c r="H23" s="71"/>
      <c r="I23" s="71"/>
      <c r="M23" s="2"/>
      <c r="N23" s="2"/>
      <c r="O23" s="2"/>
    </row>
    <row r="24" spans="1:15" ht="12.75" customHeight="1" x14ac:dyDescent="0.2">
      <c r="A24" s="71"/>
      <c r="B24" s="71"/>
      <c r="C24" s="71"/>
      <c r="D24" s="71"/>
      <c r="E24" s="71"/>
      <c r="F24" s="71"/>
      <c r="G24" s="71"/>
      <c r="H24" s="71"/>
      <c r="I24" s="71"/>
    </row>
    <row r="25" spans="1:15" ht="12.75" customHeight="1" x14ac:dyDescent="0.2">
      <c r="A25" s="71"/>
      <c r="B25" s="71"/>
      <c r="C25" s="71"/>
      <c r="D25" s="71"/>
      <c r="E25" s="71"/>
      <c r="F25" s="71"/>
      <c r="G25" s="71"/>
      <c r="H25" s="71"/>
      <c r="I25" s="71"/>
    </row>
    <row r="26" spans="1:15" ht="12.75" customHeight="1" x14ac:dyDescent="0.2">
      <c r="A26" s="71"/>
      <c r="B26" s="71"/>
      <c r="C26" s="71"/>
      <c r="D26" s="71"/>
      <c r="E26" s="71"/>
      <c r="F26" s="71"/>
      <c r="G26" s="71"/>
      <c r="H26" s="71"/>
      <c r="I26" s="71"/>
    </row>
    <row r="27" spans="1:15" ht="12.75" customHeight="1" x14ac:dyDescent="0.2">
      <c r="A27" s="71"/>
      <c r="B27" s="71"/>
      <c r="C27" s="71"/>
      <c r="D27" s="71"/>
      <c r="E27" s="71"/>
      <c r="F27" s="71"/>
      <c r="G27" s="71"/>
      <c r="H27" s="71"/>
      <c r="I27" s="71"/>
    </row>
    <row r="28" spans="1:15" ht="12.75" customHeight="1" x14ac:dyDescent="0.2">
      <c r="A28" s="71"/>
      <c r="B28" s="71"/>
      <c r="C28" s="71"/>
      <c r="D28" s="71"/>
      <c r="E28" s="71"/>
      <c r="F28" s="71"/>
      <c r="G28" s="71"/>
      <c r="H28" s="71"/>
      <c r="I28" s="71"/>
    </row>
    <row r="29" spans="1:15" ht="13.5" x14ac:dyDescent="0.25">
      <c r="A29" s="21" t="s">
        <v>72</v>
      </c>
      <c r="B29" s="18"/>
      <c r="C29" s="18"/>
      <c r="D29" s="18"/>
      <c r="E29" s="18"/>
      <c r="F29" s="18"/>
      <c r="G29" s="18"/>
      <c r="H29" s="18"/>
      <c r="I29" s="18"/>
    </row>
    <row r="31" spans="1:15" ht="13.5" x14ac:dyDescent="0.25">
      <c r="A31" s="51" t="s">
        <v>66</v>
      </c>
      <c r="B31" s="24"/>
      <c r="C31" s="24"/>
      <c r="D31" s="24"/>
      <c r="E31" s="24"/>
      <c r="F31" s="24"/>
      <c r="G31" s="24"/>
      <c r="H31" s="24"/>
    </row>
    <row r="32" spans="1:15" ht="13.5" x14ac:dyDescent="0.25">
      <c r="B32" s="18"/>
      <c r="C32" s="18"/>
      <c r="D32" s="18"/>
      <c r="E32" s="18"/>
      <c r="F32" s="18"/>
      <c r="G32" s="18"/>
      <c r="H32" s="18"/>
    </row>
    <row r="33" spans="1:8" x14ac:dyDescent="0.2">
      <c r="A33" s="62" t="s">
        <v>67</v>
      </c>
      <c r="B33" s="62"/>
      <c r="C33" s="62"/>
      <c r="D33" s="62"/>
      <c r="E33" s="62"/>
      <c r="F33" s="62"/>
      <c r="G33" s="62"/>
      <c r="H33" s="62"/>
    </row>
    <row r="34" spans="1:8" x14ac:dyDescent="0.2">
      <c r="A34" s="62"/>
      <c r="B34" s="62"/>
      <c r="C34" s="62"/>
      <c r="D34" s="62"/>
      <c r="E34" s="62"/>
      <c r="F34" s="62"/>
      <c r="G34" s="62"/>
      <c r="H34" s="62"/>
    </row>
  </sheetData>
  <sortState xmlns:xlrd2="http://schemas.microsoft.com/office/spreadsheetml/2017/richdata2" ref="M6:O9">
    <sortCondition descending="1" ref="O6:O9"/>
  </sortState>
  <mergeCells count="6">
    <mergeCell ref="A33:H34"/>
    <mergeCell ref="A1:I2"/>
    <mergeCell ref="K1:Q2"/>
    <mergeCell ref="A3:I3"/>
    <mergeCell ref="K3:Q3"/>
    <mergeCell ref="A21:I28"/>
  </mergeCells>
  <hyperlinks>
    <hyperlink ref="A31" r:id="rId1" xr:uid="{3E839461-5F40-4C04-B8F2-0F95CD5AA0E6}"/>
  </hyperlinks>
  <pageMargins left="0.70866141732283472" right="0.70866141732283472" top="0.74803149606299213" bottom="0.74803149606299213" header="0.31496062992125984" footer="0.31496062992125984"/>
  <pageSetup paperSize="9" orientation="landscape" r:id="rId2"/>
  <headerFooter>
    <oddHeader>&amp;COECD Affordable Housing Database, http://oe.cd/ahd</oddHeader>
    <oddFooter>&amp;C_x000D_&amp;1#&amp;"Calibri"&amp;10&amp;K0000FF Restricted Use - À usage restreint&amp;R&amp;F - &amp;A</oddFooter>
  </headerFooter>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7C7D7-C5A0-447F-9BDD-A1E5D6E0A6F3}">
  <dimension ref="A1:AI116"/>
  <sheetViews>
    <sheetView zoomScale="130" zoomScaleNormal="130" workbookViewId="0">
      <selection activeCell="A18" sqref="A18"/>
    </sheetView>
  </sheetViews>
  <sheetFormatPr defaultRowHeight="12.75" x14ac:dyDescent="0.2"/>
  <cols>
    <col min="1" max="1" width="18.5703125" style="3" customWidth="1"/>
    <col min="2" max="3" width="32.42578125" style="3" customWidth="1"/>
    <col min="4" max="4" width="28.85546875" customWidth="1"/>
    <col min="5" max="5" width="28.85546875" style="3" customWidth="1"/>
    <col min="6" max="6" width="25.28515625" customWidth="1"/>
    <col min="7" max="7" width="25.28515625" style="3" customWidth="1"/>
    <col min="8" max="8" width="26.5703125" customWidth="1"/>
    <col min="9" max="9" width="26.5703125" style="3" customWidth="1"/>
    <col min="10" max="35" width="9.140625" style="8"/>
  </cols>
  <sheetData>
    <row r="1" spans="1:35" s="8" customFormat="1" ht="15.75" x14ac:dyDescent="0.2">
      <c r="A1" s="43" t="s">
        <v>65</v>
      </c>
    </row>
    <row r="2" spans="1:35" s="8" customFormat="1" ht="13.5" thickBot="1" x14ac:dyDescent="0.25">
      <c r="A2" s="56"/>
    </row>
    <row r="3" spans="1:35" ht="13.5" thickTop="1" x14ac:dyDescent="0.2">
      <c r="A3" s="57" t="s">
        <v>26</v>
      </c>
      <c r="B3" s="73" t="s">
        <v>27</v>
      </c>
      <c r="C3" s="74"/>
      <c r="D3" s="75" t="s">
        <v>28</v>
      </c>
      <c r="E3" s="74"/>
      <c r="F3" s="75" t="s">
        <v>29</v>
      </c>
      <c r="G3" s="74"/>
      <c r="H3" s="75" t="s">
        <v>30</v>
      </c>
      <c r="I3" s="74"/>
    </row>
    <row r="4" spans="1:35" s="3" customFormat="1" ht="13.5" thickBot="1" x14ac:dyDescent="0.25">
      <c r="A4" s="58"/>
      <c r="B4" s="60" t="s">
        <v>73</v>
      </c>
      <c r="C4" s="61" t="s">
        <v>74</v>
      </c>
      <c r="D4" s="61" t="s">
        <v>73</v>
      </c>
      <c r="E4" s="61" t="s">
        <v>74</v>
      </c>
      <c r="F4" s="61" t="s">
        <v>73</v>
      </c>
      <c r="G4" s="61" t="s">
        <v>74</v>
      </c>
      <c r="H4" s="61" t="s">
        <v>73</v>
      </c>
      <c r="I4" s="61" t="s">
        <v>74</v>
      </c>
      <c r="J4" s="8"/>
      <c r="K4" s="8"/>
      <c r="L4" s="8"/>
      <c r="M4" s="8"/>
      <c r="N4" s="8"/>
      <c r="O4" s="8"/>
      <c r="P4" s="8"/>
      <c r="Q4" s="8"/>
      <c r="R4" s="8"/>
      <c r="S4" s="8"/>
      <c r="T4" s="8"/>
      <c r="U4" s="8"/>
      <c r="V4" s="8"/>
      <c r="W4" s="8"/>
      <c r="X4" s="8"/>
      <c r="Y4" s="8"/>
      <c r="Z4" s="8"/>
      <c r="AA4" s="8"/>
      <c r="AB4" s="8"/>
      <c r="AC4" s="8"/>
      <c r="AD4" s="8"/>
      <c r="AE4" s="8"/>
      <c r="AF4" s="8"/>
      <c r="AG4" s="8"/>
      <c r="AH4" s="8"/>
      <c r="AI4" s="8"/>
    </row>
    <row r="5" spans="1:35" ht="26.25" thickBot="1" x14ac:dyDescent="0.25">
      <c r="A5" s="59" t="s">
        <v>21</v>
      </c>
      <c r="B5" s="54" t="str">
        <f>VLOOKUP($A5,'[1]Name of measures'!$A$2:$K$19,2,FALSE)</f>
        <v>Public Housing</v>
      </c>
      <c r="C5" s="54" t="s">
        <v>43</v>
      </c>
      <c r="D5" s="54" t="str">
        <f>VLOOKUP($A5,'[1]Name of measures'!$A$2:$K$19,4,FALSE)</f>
        <v>State owned and managed Indigenous housing (SOMIH)</v>
      </c>
      <c r="E5" s="54" t="s">
        <v>44</v>
      </c>
      <c r="F5" s="54" t="s">
        <v>46</v>
      </c>
      <c r="G5" s="54" t="s">
        <v>46</v>
      </c>
      <c r="H5" s="54"/>
      <c r="I5" s="54"/>
    </row>
    <row r="6" spans="1:35" ht="12.75" customHeight="1" thickBot="1" x14ac:dyDescent="0.25">
      <c r="A6" s="54" t="s">
        <v>17</v>
      </c>
      <c r="B6" s="54" t="str">
        <f>VLOOKUP($A6,'[1]Name of measures'!$A$2:$K$19,2,FALSE)</f>
        <v>Wohnbauförderung der Länder</v>
      </c>
      <c r="C6" s="54" t="s">
        <v>47</v>
      </c>
      <c r="D6" s="54" t="s">
        <v>45</v>
      </c>
      <c r="E6" s="54" t="s">
        <v>45</v>
      </c>
      <c r="F6" s="54" t="s">
        <v>45</v>
      </c>
      <c r="G6" s="54" t="s">
        <v>45</v>
      </c>
      <c r="H6" s="54" t="s">
        <v>45</v>
      </c>
      <c r="I6" s="54"/>
    </row>
    <row r="7" spans="1:35" ht="26.25" thickBot="1" x14ac:dyDescent="0.25">
      <c r="A7" s="54" t="s">
        <v>5</v>
      </c>
      <c r="B7" s="54" t="str">
        <f>VLOOKUP($A7,'[1]Name of measures'!$A$2:$K$19,2,FALSE)</f>
        <v>Personeels- en werkingssubsidie aan sociale verhuurkantoren</v>
      </c>
      <c r="C7" s="54" t="s">
        <v>40</v>
      </c>
      <c r="D7" s="54" t="s">
        <v>45</v>
      </c>
      <c r="E7" s="54" t="s">
        <v>45</v>
      </c>
      <c r="F7" s="54" t="s">
        <v>45</v>
      </c>
      <c r="G7" s="54" t="s">
        <v>45</v>
      </c>
      <c r="H7" s="54" t="s">
        <v>45</v>
      </c>
      <c r="I7" s="54"/>
    </row>
    <row r="8" spans="1:35" ht="13.5" thickBot="1" x14ac:dyDescent="0.25">
      <c r="A8" s="54" t="s">
        <v>16</v>
      </c>
      <c r="B8" s="54" t="str">
        <f>VLOOKUP($A8,'[1]Name of measures'!$A$2:$K$19,2,FALSE)</f>
        <v>Arriendo a Precio Justo</v>
      </c>
      <c r="C8" s="54" t="s">
        <v>39</v>
      </c>
      <c r="D8" s="54" t="s">
        <v>45</v>
      </c>
      <c r="E8" s="54" t="s">
        <v>45</v>
      </c>
      <c r="F8" s="54" t="s">
        <v>45</v>
      </c>
      <c r="G8" s="54" t="s">
        <v>45</v>
      </c>
      <c r="H8" s="54" t="s">
        <v>45</v>
      </c>
      <c r="I8" s="54"/>
    </row>
    <row r="9" spans="1:35" ht="13.5" thickBot="1" x14ac:dyDescent="0.25">
      <c r="A9" s="54" t="s">
        <v>18</v>
      </c>
      <c r="B9" s="54" t="s">
        <v>75</v>
      </c>
      <c r="C9" s="54" t="s">
        <v>56</v>
      </c>
      <c r="D9" s="54" t="s">
        <v>45</v>
      </c>
      <c r="E9" s="54" t="s">
        <v>45</v>
      </c>
      <c r="F9" s="54" t="s">
        <v>45</v>
      </c>
      <c r="G9" s="54" t="s">
        <v>45</v>
      </c>
      <c r="H9" s="54" t="s">
        <v>45</v>
      </c>
      <c r="I9" s="54"/>
    </row>
    <row r="10" spans="1:35" ht="13.5" thickBot="1" x14ac:dyDescent="0.25">
      <c r="A10" s="54" t="s">
        <v>6</v>
      </c>
      <c r="B10" s="54" t="str">
        <f>VLOOKUP($A10,'[1]Name of measures'!$A$2:$K$19,2,FALSE)</f>
        <v>Grundkapital</v>
      </c>
      <c r="C10" s="54" t="s">
        <v>38</v>
      </c>
      <c r="D10" s="54" t="s">
        <v>45</v>
      </c>
      <c r="E10" s="54" t="s">
        <v>45</v>
      </c>
      <c r="F10" s="54" t="s">
        <v>45</v>
      </c>
      <c r="G10" s="54" t="s">
        <v>45</v>
      </c>
      <c r="H10" s="54" t="s">
        <v>45</v>
      </c>
      <c r="I10" s="54"/>
    </row>
    <row r="11" spans="1:35" ht="39" thickBot="1" x14ac:dyDescent="0.25">
      <c r="A11" s="54" t="s">
        <v>7</v>
      </c>
      <c r="B11" s="54" t="str">
        <f>VLOOKUP($A11,'[1]Name of measures'!$A$2:$K$19,2,FALSE)</f>
        <v>Kohaliku omavalitsuse üksuse elamufondi arendamiseks juhtumipõhise investeeringutoetuse andmise tingimused ja kord</v>
      </c>
      <c r="C11" s="54" t="s">
        <v>36</v>
      </c>
      <c r="D11" s="54" t="s">
        <v>45</v>
      </c>
      <c r="E11" s="54" t="s">
        <v>45</v>
      </c>
      <c r="F11" s="54" t="s">
        <v>45</v>
      </c>
      <c r="G11" s="54" t="s">
        <v>45</v>
      </c>
      <c r="H11" s="54" t="s">
        <v>45</v>
      </c>
      <c r="I11" s="54"/>
    </row>
    <row r="12" spans="1:35" ht="13.5" thickBot="1" x14ac:dyDescent="0.25">
      <c r="A12" s="54" t="s">
        <v>23</v>
      </c>
      <c r="B12" s="54" t="str">
        <f>VLOOKUP($A12,'[1]Name of measures'!$A$2:$K$19,2,FALSE)</f>
        <v>Erityisryhmien investointiavustus</v>
      </c>
      <c r="C12" s="54" t="s">
        <v>70</v>
      </c>
      <c r="D12" s="54" t="str">
        <f>VLOOKUP($A12,'[1]Name of measures'!$A$2:$K$19,4,FALSE)</f>
        <v>Muut avustukset</v>
      </c>
      <c r="E12" s="54" t="s">
        <v>69</v>
      </c>
      <c r="F12" s="54" t="s">
        <v>45</v>
      </c>
      <c r="G12" s="54" t="s">
        <v>45</v>
      </c>
      <c r="H12" s="54" t="s">
        <v>45</v>
      </c>
      <c r="I12" s="54"/>
    </row>
    <row r="13" spans="1:35" ht="26.25" thickBot="1" x14ac:dyDescent="0.25">
      <c r="A13" s="54" t="s">
        <v>32</v>
      </c>
      <c r="B13" s="54" t="str">
        <f>VLOOKUP($A13,'[1]Name of measures'!$A$2:$K$19,2,FALSE)</f>
        <v>Prets aides au logement social</v>
      </c>
      <c r="C13" s="54" t="s">
        <v>33</v>
      </c>
      <c r="D13" s="54" t="str">
        <f>VLOOKUP($A13,'[1]Name of measures'!$A$2:$K$19,4,FALSE)</f>
        <v>Taux reduit de TVA</v>
      </c>
      <c r="E13" s="54" t="s">
        <v>34</v>
      </c>
      <c r="F13" s="54" t="str">
        <f>VLOOKUP($A13,'[1]Name of measures'!$A$2:$K$19,6,FALSE)</f>
        <v>Exonération d'impôts sur les sociétés</v>
      </c>
      <c r="G13" s="54" t="s">
        <v>34</v>
      </c>
      <c r="H13" s="54" t="str">
        <f>VLOOKUP($A13,'[1]Name of measures'!$A$2:$K$19,8,FALSE)</f>
        <v>Subventions (aides directes)</v>
      </c>
      <c r="I13" s="54" t="s">
        <v>35</v>
      </c>
    </row>
    <row r="14" spans="1:35" ht="13.5" thickBot="1" x14ac:dyDescent="0.25">
      <c r="A14" s="54" t="s">
        <v>37</v>
      </c>
      <c r="B14" s="54" t="str">
        <f>VLOOKUP($A14,'[1]Name of measures'!$A$2:$K$19,2,FALSE)</f>
        <v>Fördermittel als Darlehen zu Vorzugsbedingungen</v>
      </c>
      <c r="C14" s="54" t="s">
        <v>50</v>
      </c>
      <c r="D14" s="54" t="str">
        <f>VLOOKUP($A14,'[1]Name of measures'!$A$2:$K$19,4,FALSE)</f>
        <v>Fördermittel als Zuschuss</v>
      </c>
      <c r="E14" s="54" t="s">
        <v>51</v>
      </c>
      <c r="F14" s="54" t="s">
        <v>45</v>
      </c>
      <c r="G14" s="54" t="s">
        <v>45</v>
      </c>
      <c r="H14" s="54" t="s">
        <v>45</v>
      </c>
      <c r="I14" s="54"/>
    </row>
    <row r="15" spans="1:35" ht="13.5" thickBot="1" x14ac:dyDescent="0.25">
      <c r="A15" s="54" t="s">
        <v>41</v>
      </c>
      <c r="B15" s="54" t="s">
        <v>42</v>
      </c>
      <c r="C15" s="54" t="s">
        <v>42</v>
      </c>
      <c r="D15" s="54" t="s">
        <v>45</v>
      </c>
      <c r="E15" s="54" t="s">
        <v>45</v>
      </c>
      <c r="F15" s="54" t="s">
        <v>45</v>
      </c>
      <c r="G15" s="54" t="s">
        <v>45</v>
      </c>
      <c r="H15" s="54" t="s">
        <v>45</v>
      </c>
      <c r="I15" s="54"/>
    </row>
    <row r="16" spans="1:35" ht="13.5" thickBot="1" x14ac:dyDescent="0.25">
      <c r="A16" s="55" t="s">
        <v>1</v>
      </c>
      <c r="B16" s="55" t="s">
        <v>31</v>
      </c>
      <c r="C16" s="55" t="s">
        <v>31</v>
      </c>
      <c r="D16" s="55" t="s">
        <v>45</v>
      </c>
      <c r="E16" s="55" t="s">
        <v>45</v>
      </c>
      <c r="F16" s="55" t="s">
        <v>45</v>
      </c>
      <c r="G16" s="55" t="s">
        <v>45</v>
      </c>
      <c r="H16" s="55" t="s">
        <v>45</v>
      </c>
      <c r="I16" s="55"/>
    </row>
    <row r="17" spans="1:12" ht="64.5" thickBot="1" x14ac:dyDescent="0.25">
      <c r="A17" s="54" t="s">
        <v>2</v>
      </c>
      <c r="B17" s="54" t="str">
        <f>VLOOKUP($A17,'[1]Name of measures'!$A$2:$K$19,2,FALSE)</f>
        <v>program preferencyjnych kredytów objętych dopłatami do odsetek z budżetu państwa, udzielanych przez Bank Gospodarstwa Krajowego na społeczne budownictwo czynszowe (program SBC)</v>
      </c>
      <c r="C17" s="54" t="s">
        <v>57</v>
      </c>
      <c r="D17" s="54" t="str">
        <f>VLOOKUP($A17,'[1]Name of measures'!$A$2:$K$19,4,FALSE)</f>
        <v>program bezzwrotnego dofinansowania części kosztów inwestycji mieszkaniowej z Funduszu Dopłat w Banku Gospodarstwa Krajowego (program BSK)</v>
      </c>
      <c r="E17" s="54" t="s">
        <v>58</v>
      </c>
      <c r="F17" s="54" t="s">
        <v>45</v>
      </c>
      <c r="G17" s="54" t="s">
        <v>45</v>
      </c>
      <c r="H17" s="54" t="s">
        <v>45</v>
      </c>
      <c r="I17" s="54"/>
    </row>
    <row r="18" spans="1:12" ht="26.25" thickBot="1" x14ac:dyDescent="0.25">
      <c r="A18" s="54" t="s">
        <v>15</v>
      </c>
      <c r="B18" s="54" t="str">
        <f>VLOOKUP($A18,'[1]Name of measures'!$A$2:$K$19,2,FALSE)</f>
        <v>1.º Direito - Programa de Apoio ao Acesso à Habitação</v>
      </c>
      <c r="C18" s="54" t="s">
        <v>54</v>
      </c>
      <c r="D18" s="54" t="str">
        <f>VLOOKUP($A18,'[1]Name of measures'!$A$2:$K$19,4,FALSE)</f>
        <v>Porta de Entrada</v>
      </c>
      <c r="E18" s="54" t="s">
        <v>55</v>
      </c>
      <c r="F18" s="54" t="s">
        <v>45</v>
      </c>
      <c r="G18" s="54" t="s">
        <v>45</v>
      </c>
      <c r="H18" s="54" t="s">
        <v>45</v>
      </c>
      <c r="I18" s="54"/>
    </row>
    <row r="19" spans="1:12" ht="12.75" customHeight="1" thickBot="1" x14ac:dyDescent="0.25">
      <c r="A19" s="54" t="s">
        <v>8</v>
      </c>
      <c r="B19" s="54" t="str">
        <f>VLOOKUP($A19,'[1]Name of measures'!$A$2:$K$19,2,FALSE)</f>
        <v>Dotacie na rozvoj byvania</v>
      </c>
      <c r="C19" s="54" t="s">
        <v>52</v>
      </c>
      <c r="D19" s="54" t="str">
        <f>VLOOKUP($A19,'[1]Name of measures'!$A$2:$K$19,4,FALSE)</f>
        <v>Štátny fond rozvoja bývania</v>
      </c>
      <c r="E19" s="54" t="s">
        <v>53</v>
      </c>
      <c r="F19" s="54" t="s">
        <v>45</v>
      </c>
      <c r="G19" s="54" t="s">
        <v>45</v>
      </c>
      <c r="H19" s="54" t="s">
        <v>45</v>
      </c>
      <c r="I19" s="54"/>
    </row>
    <row r="20" spans="1:12" ht="13.5" thickBot="1" x14ac:dyDescent="0.25">
      <c r="A20" s="54" t="s">
        <v>22</v>
      </c>
      <c r="B20" s="54" t="str">
        <f>VLOOKUP($A20,'[1]Name of measures'!$A$2:$K$19,2,FALSE)</f>
        <v>Public housing</v>
      </c>
      <c r="C20" s="54" t="s">
        <v>48</v>
      </c>
      <c r="D20" s="54" t="str">
        <f>VLOOKUP($A20,'[1]Name of measures'!$A$2:$K$19,4,FALSE)</f>
        <v>Project-based rental assistance</v>
      </c>
      <c r="E20" s="54" t="s">
        <v>49</v>
      </c>
      <c r="F20" s="54" t="s">
        <v>45</v>
      </c>
      <c r="G20" s="54" t="s">
        <v>45</v>
      </c>
      <c r="H20" s="54" t="s">
        <v>45</v>
      </c>
      <c r="I20" s="54"/>
    </row>
    <row r="21" spans="1:12" s="8" customFormat="1" x14ac:dyDescent="0.2"/>
    <row r="22" spans="1:12" s="8" customFormat="1" ht="13.5" x14ac:dyDescent="0.25">
      <c r="A22" s="21" t="s">
        <v>72</v>
      </c>
    </row>
    <row r="23" spans="1:12" s="8" customFormat="1" x14ac:dyDescent="0.2"/>
    <row r="24" spans="1:12" s="8" customFormat="1" ht="13.5" x14ac:dyDescent="0.25">
      <c r="A24" s="51" t="s">
        <v>66</v>
      </c>
      <c r="B24" s="52"/>
      <c r="C24" s="52"/>
      <c r="D24" s="52"/>
      <c r="E24" s="52"/>
      <c r="F24" s="52"/>
      <c r="G24" s="52"/>
      <c r="H24" s="52"/>
      <c r="I24" s="52"/>
      <c r="J24" s="52"/>
      <c r="K24" s="52"/>
      <c r="L24" s="52"/>
    </row>
    <row r="25" spans="1:12" s="8" customFormat="1" ht="13.5" x14ac:dyDescent="0.25">
      <c r="B25" s="53"/>
      <c r="C25" s="53"/>
      <c r="D25" s="53"/>
      <c r="E25" s="53"/>
      <c r="F25" s="53"/>
      <c r="G25" s="53"/>
      <c r="H25" s="53"/>
      <c r="I25" s="53"/>
      <c r="J25" s="53"/>
      <c r="K25" s="53"/>
      <c r="L25" s="53"/>
    </row>
    <row r="26" spans="1:12" s="8" customFormat="1" x14ac:dyDescent="0.2">
      <c r="A26" s="72" t="s">
        <v>67</v>
      </c>
      <c r="B26" s="72"/>
      <c r="C26" s="72"/>
      <c r="D26" s="72"/>
      <c r="E26" s="72"/>
      <c r="F26" s="72"/>
      <c r="G26" s="72"/>
      <c r="H26" s="72"/>
      <c r="I26" s="72"/>
      <c r="J26" s="72"/>
      <c r="K26" s="72"/>
      <c r="L26" s="72"/>
    </row>
    <row r="27" spans="1:12" s="8" customFormat="1" x14ac:dyDescent="0.2">
      <c r="A27" s="72"/>
      <c r="B27" s="72"/>
      <c r="C27" s="72"/>
      <c r="D27" s="72"/>
      <c r="E27" s="72"/>
      <c r="F27" s="72"/>
      <c r="G27" s="72"/>
      <c r="H27" s="72"/>
      <c r="I27" s="72"/>
      <c r="J27" s="72"/>
      <c r="K27" s="72"/>
      <c r="L27" s="72"/>
    </row>
    <row r="28" spans="1:12" s="8" customFormat="1" x14ac:dyDescent="0.2"/>
    <row r="29" spans="1:12" s="8" customFormat="1" x14ac:dyDescent="0.2"/>
    <row r="30" spans="1:12" s="8" customFormat="1" x14ac:dyDescent="0.2"/>
    <row r="31" spans="1:12" s="8" customFormat="1" x14ac:dyDescent="0.2"/>
    <row r="32" spans="1:12" s="8" customFormat="1" x14ac:dyDescent="0.2"/>
    <row r="33" s="8" customFormat="1" x14ac:dyDescent="0.2"/>
    <row r="34" s="8" customFormat="1" x14ac:dyDescent="0.2"/>
    <row r="35" s="8" customFormat="1" x14ac:dyDescent="0.2"/>
    <row r="36" s="8" customFormat="1" x14ac:dyDescent="0.2"/>
    <row r="37" s="8" customFormat="1" x14ac:dyDescent="0.2"/>
    <row r="38" s="8" customFormat="1" x14ac:dyDescent="0.2"/>
    <row r="39" s="8" customFormat="1" x14ac:dyDescent="0.2"/>
    <row r="40" s="8" customFormat="1" x14ac:dyDescent="0.2"/>
    <row r="41" s="8" customFormat="1" x14ac:dyDescent="0.2"/>
    <row r="42" s="8" customFormat="1" x14ac:dyDescent="0.2"/>
    <row r="43" s="8" customFormat="1" x14ac:dyDescent="0.2"/>
    <row r="44" s="8" customFormat="1" x14ac:dyDescent="0.2"/>
    <row r="45" s="8" customFormat="1" x14ac:dyDescent="0.2"/>
    <row r="46" s="8" customFormat="1" x14ac:dyDescent="0.2"/>
    <row r="47" s="8" customFormat="1" x14ac:dyDescent="0.2"/>
    <row r="48" s="8" customFormat="1" x14ac:dyDescent="0.2"/>
    <row r="49" s="8" customFormat="1" x14ac:dyDescent="0.2"/>
    <row r="50" s="8" customFormat="1" x14ac:dyDescent="0.2"/>
    <row r="51" s="8" customFormat="1" x14ac:dyDescent="0.2"/>
    <row r="52" s="8" customFormat="1" x14ac:dyDescent="0.2"/>
    <row r="53" s="8" customFormat="1" x14ac:dyDescent="0.2"/>
    <row r="54" s="8" customFormat="1" x14ac:dyDescent="0.2"/>
    <row r="55" s="8" customFormat="1" x14ac:dyDescent="0.2"/>
    <row r="56" s="8" customFormat="1" x14ac:dyDescent="0.2"/>
    <row r="57" s="8" customFormat="1" x14ac:dyDescent="0.2"/>
    <row r="58" s="8" customFormat="1" x14ac:dyDescent="0.2"/>
    <row r="59" s="8" customFormat="1" x14ac:dyDescent="0.2"/>
    <row r="60" s="8" customFormat="1" x14ac:dyDescent="0.2"/>
    <row r="61" s="8" customFormat="1" x14ac:dyDescent="0.2"/>
    <row r="62" s="8" customFormat="1" x14ac:dyDescent="0.2"/>
    <row r="63" s="8" customFormat="1" x14ac:dyDescent="0.2"/>
    <row r="64" s="8" customFormat="1" x14ac:dyDescent="0.2"/>
    <row r="65" s="8" customFormat="1" x14ac:dyDescent="0.2"/>
    <row r="66" s="8" customFormat="1" x14ac:dyDescent="0.2"/>
    <row r="67" s="8" customFormat="1" x14ac:dyDescent="0.2"/>
    <row r="68" s="8" customFormat="1" x14ac:dyDescent="0.2"/>
    <row r="69" s="8" customFormat="1" x14ac:dyDescent="0.2"/>
    <row r="70" s="8" customFormat="1" x14ac:dyDescent="0.2"/>
    <row r="71" s="8" customFormat="1" x14ac:dyDescent="0.2"/>
    <row r="72" s="8" customFormat="1" x14ac:dyDescent="0.2"/>
    <row r="73" s="8" customFormat="1" x14ac:dyDescent="0.2"/>
    <row r="74" s="8" customFormat="1" x14ac:dyDescent="0.2"/>
    <row r="75" s="8" customFormat="1" x14ac:dyDescent="0.2"/>
    <row r="76" s="8" customFormat="1" x14ac:dyDescent="0.2"/>
    <row r="77" s="8" customFormat="1" x14ac:dyDescent="0.2"/>
    <row r="78" s="8" customFormat="1" x14ac:dyDescent="0.2"/>
    <row r="79" s="8" customFormat="1" x14ac:dyDescent="0.2"/>
    <row r="80" s="8" customFormat="1" x14ac:dyDescent="0.2"/>
    <row r="81" s="8" customFormat="1" x14ac:dyDescent="0.2"/>
    <row r="82" s="8" customFormat="1" x14ac:dyDescent="0.2"/>
    <row r="83" s="8" customFormat="1" x14ac:dyDescent="0.2"/>
    <row r="84" s="8" customFormat="1" x14ac:dyDescent="0.2"/>
    <row r="85" s="8" customFormat="1" x14ac:dyDescent="0.2"/>
    <row r="86" s="8" customFormat="1" x14ac:dyDescent="0.2"/>
    <row r="87" s="8" customFormat="1" x14ac:dyDescent="0.2"/>
    <row r="88" s="8" customFormat="1" x14ac:dyDescent="0.2"/>
    <row r="89" s="8" customFormat="1" x14ac:dyDescent="0.2"/>
    <row r="90" s="8" customFormat="1" x14ac:dyDescent="0.2"/>
    <row r="91" s="8" customFormat="1" x14ac:dyDescent="0.2"/>
    <row r="92" s="8" customFormat="1" x14ac:dyDescent="0.2"/>
    <row r="93" s="8" customFormat="1" x14ac:dyDescent="0.2"/>
    <row r="94" s="8" customFormat="1" x14ac:dyDescent="0.2"/>
    <row r="95" s="8" customFormat="1" x14ac:dyDescent="0.2"/>
    <row r="96" s="8" customFormat="1" x14ac:dyDescent="0.2"/>
    <row r="97" s="8" customFormat="1" x14ac:dyDescent="0.2"/>
    <row r="98" s="8" customFormat="1" x14ac:dyDescent="0.2"/>
    <row r="99" s="8" customFormat="1" x14ac:dyDescent="0.2"/>
    <row r="100" s="8" customFormat="1" x14ac:dyDescent="0.2"/>
    <row r="101" s="8" customFormat="1" x14ac:dyDescent="0.2"/>
    <row r="102" s="8" customFormat="1" x14ac:dyDescent="0.2"/>
    <row r="103" s="8" customFormat="1" x14ac:dyDescent="0.2"/>
    <row r="104" s="8" customFormat="1" x14ac:dyDescent="0.2"/>
    <row r="105" s="8" customFormat="1" x14ac:dyDescent="0.2"/>
    <row r="106" s="8" customFormat="1" x14ac:dyDescent="0.2"/>
    <row r="107" s="8" customFormat="1" x14ac:dyDescent="0.2"/>
    <row r="108" s="8" customFormat="1" x14ac:dyDescent="0.2"/>
    <row r="109" s="8" customFormat="1" x14ac:dyDescent="0.2"/>
    <row r="110" s="8" customFormat="1" x14ac:dyDescent="0.2"/>
    <row r="111" s="8" customFormat="1" x14ac:dyDescent="0.2"/>
    <row r="112" s="8" customFormat="1" x14ac:dyDescent="0.2"/>
    <row r="113" s="8" customFormat="1" x14ac:dyDescent="0.2"/>
    <row r="114" s="8" customFormat="1" x14ac:dyDescent="0.2"/>
    <row r="115" s="8" customFormat="1" x14ac:dyDescent="0.2"/>
    <row r="116" s="8" customFormat="1" x14ac:dyDescent="0.2"/>
  </sheetData>
  <sortState xmlns:xlrd2="http://schemas.microsoft.com/office/spreadsheetml/2017/richdata2" ref="A5:H20">
    <sortCondition ref="A5:A20"/>
  </sortState>
  <mergeCells count="5">
    <mergeCell ref="A26:L27"/>
    <mergeCell ref="B3:C3"/>
    <mergeCell ref="D3:E3"/>
    <mergeCell ref="F3:G3"/>
    <mergeCell ref="H3:I3"/>
  </mergeCells>
  <hyperlinks>
    <hyperlink ref="A24" r:id="rId1" xr:uid="{0C956AF1-5210-48C4-ABC3-0E6A4B8E8745}"/>
  </hyperlinks>
  <pageMargins left="0.7" right="0.7" top="0.75" bottom="0.75" header="0.3" footer="0.3"/>
  <pageSetup paperSize="9" orientation="portrait" r:id="rId2"/>
  <headerFooter>
    <oddFooter>&amp;C_x000D_&amp;1#&amp;"Calibri"&amp;10&amp;K0000FF Restricted Use - À usage restreint</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CtFieldPriority xmlns="http://www.oecd.org/eshare/projectsentre/CtFieldPriority/" xmlns:i="http://www.w3.org/2001/XMLSchema-instance">
  <PriorityFields xmlns:a="http://schemas.microsoft.com/2003/10/Serialization/Arrays">
    <a:string>Title</a:string>
    <a:string>OECDCountry</a:string>
    <a:string>OECDTopic</a:string>
    <a:string>OECDKeywords</a:string>
  </PriorityFields>
</CtFieldPriority>
</file>

<file path=customXml/item2.xml><?xml version="1.0" encoding="utf-8"?>
<?mso-contentType ?>
<SharedContentType xmlns="Microsoft.SharePoint.Taxonomy.ContentTypeSync" SourceId="27ec883c-a62c-444f-a935-fcddb579e39d" ContentTypeId="0x0101008B4DD370EC31429186F3AD49F0D3098F00D44DBCB9EB4F45278CB5C9765BE52995" PreviousValue="false"/>
</file>

<file path=customXml/item3.xml><?xml version="1.0" encoding="utf-8"?>
<p:properties xmlns:p="http://schemas.microsoft.com/office/2006/metadata/properties" xmlns:xsi="http://www.w3.org/2001/XMLSchema-instance">
  <documentManagement>
    <eShareHorizProjTaxHTField0 xmlns="c5805097-db0a-42f9-a837-be9035f1f571" xsi:nil="true"/>
    <OECDProjectMembers xmlns="22a5b7d0-1699-458f-b8e2-4d8247229549">
      <UserInfo>
        <DisplayName>FRON Pauline, ELS/HD</DisplayName>
        <AccountId>219</AccountId>
        <AccountType/>
      </UserInfo>
      <UserInfo>
        <DisplayName>THEVENON Olivier, WISE/CWB</DisplayName>
        <AccountId>291</AccountId>
        <AccountType/>
      </UserInfo>
      <UserInfo>
        <DisplayName>FREY Valerie, ELS/SPD</DisplayName>
        <AccountId>142</AccountId>
        <AccountType/>
      </UserInfo>
      <UserInfo>
        <DisplayName>SHIN Eunkyung, ELS/SPD</DisplayName>
        <AccountId>1174</AccountId>
        <AccountType/>
      </UserInfo>
      <UserInfo>
        <DisplayName>STRAPPS Sarah, ELS/SPD</DisplayName>
        <AccountId>1133</AccountId>
        <AccountType/>
      </UserInfo>
      <UserInfo>
        <DisplayName>CLARKE Chris, WISE/CWB</DisplayName>
        <AccountId>124</AccountId>
        <AccountType/>
      </UserInfo>
      <UserInfo>
        <DisplayName>LADAIQUE Maxime, ELS/SPD</DisplayName>
        <AccountId>129</AccountId>
        <AccountType/>
      </UserInfo>
      <UserInfo>
        <DisplayName>LAGORCE Natalie, STI/DEP/CCP</DisplayName>
        <AccountId>232</AccountId>
        <AccountType/>
      </UserInfo>
      <UserInfo>
        <DisplayName>PEREZ Fatima, ELS/SPD</DisplayName>
        <AccountId>1498</AccountId>
        <AccountType/>
      </UserInfo>
      <UserInfo>
        <DisplayName>PLOUIN Marissa, ELS/SPD</DisplayName>
        <AccountId>452</AccountId>
        <AccountType/>
      </UserInfo>
      <UserInfo>
        <DisplayName>BAKALOGLOU Salomé, ELS/SPD</DisplayName>
        <AccountId>2058</AccountId>
        <AccountType/>
      </UserInfo>
      <UserInfo>
        <DisplayName>ALBERTONE Baptiste, ELS/SPD</DisplayName>
        <AccountId>3584</AccountId>
        <AccountType/>
      </UserInfo>
      <UserInfo>
        <DisplayName>LLOYD Alexandre, ELS/SPD</DisplayName>
        <AccountId>4856</AccountId>
        <AccountType/>
      </UserInfo>
      <UserInfo>
        <DisplayName>MENDÍA Santiago, ELS/SPD</DisplayName>
        <AccountId>5416</AccountId>
        <AccountType/>
      </UserInfo>
      <UserInfo>
        <DisplayName>ELKURD Marie-Aurélie, ELS/JAI</DisplayName>
        <AccountId>5937</AccountId>
        <AccountType/>
      </UserInfo>
    </OECDProjectMembers>
    <OECDKimBussinessContext xmlns="54c4cd27-f286-408f-9ce0-33c1e0f3ab39" xsi:nil="true"/>
    <OECDlanguage xmlns="ca82dde9-3436-4d3d-bddd-d31447390034">English</OECDlanguage>
    <OECDMainProject xmlns="22a5b7d0-1699-458f-b8e2-4d8247229549">13</OECDMainProject>
    <eSharePWBTaxHTField0 xmlns="c9f238dd-bb73-4aef-a7a5-d644ad823e52">
      <Terms xmlns="http://schemas.microsoft.com/office/infopath/2007/PartnerControls">
        <TermInfo xmlns="http://schemas.microsoft.com/office/infopath/2007/PartnerControls">
          <TermName xmlns="http://schemas.microsoft.com/office/infopath/2007/PartnerControls">(n/a)</TermName>
          <TermId xmlns="http://schemas.microsoft.com/office/infopath/2007/PartnerControls">3adabb5f-45b7-4a20-bdde-219e8d9477af</TermId>
        </TermInfo>
      </Terms>
    </eSharePWBTaxHTField0>
    <OECDAllRelatedUsers xmlns="c5805097-db0a-42f9-a837-be9035f1f571">
      <UserInfo>
        <DisplayName/>
        <AccountId xsi:nil="true"/>
        <AccountType/>
      </UserInfo>
    </OECDAllRelatedUsers>
    <IconOverlay xmlns="http://schemas.microsoft.com/sharepoint/v4" xsi:nil="true"/>
    <OECDCommunityDocumentID xmlns="22a5b7d0-1699-458f-b8e2-4d8247229549" xsi:nil="true"/>
    <OECDProjectManager xmlns="22a5b7d0-1699-458f-b8e2-4d8247229549">
      <UserInfo>
        <DisplayName>ADEMA Willem, ELS/SPD</DisplayName>
        <AccountId>96</AccountId>
        <AccountType/>
      </UserInfo>
    </OECDProjectManager>
    <OECDTagsCache xmlns="22a5b7d0-1699-458f-b8e2-4d8247229549" xsi:nil="true"/>
    <b8c3c820c0584e889da065b0a99e2c1a xmlns="22a5b7d0-1699-458f-b8e2-4d8247229549" xsi:nil="true"/>
    <OECDMeetingDate xmlns="54c4cd27-f286-408f-9ce0-33c1e0f3ab39" xsi:nil="true"/>
    <OECDSharingStatus xmlns="22a5b7d0-1699-458f-b8e2-4d8247229549" xsi:nil="true"/>
    <eShareCommitteeTaxHTField0 xmlns="c9f238dd-bb73-4aef-a7a5-d644ad823e52">
      <Terms xmlns="http://schemas.microsoft.com/office/infopath/2007/PartnerControls"/>
    </eShareCommitteeTaxHTField0>
    <OECDCommunityDocumentURL xmlns="22a5b7d0-1699-458f-b8e2-4d8247229549" xsi:nil="true"/>
    <OECDPinnedBy xmlns="22a5b7d0-1699-458f-b8e2-4d8247229549">
      <UserInfo>
        <DisplayName/>
        <AccountId xsi:nil="true"/>
        <AccountType/>
      </UserInfo>
    </OECDPinnedBy>
    <OECDKimProvenance xmlns="54c4cd27-f286-408f-9ce0-33c1e0f3ab39" xsi:nil="true"/>
    <cc3d610261fc4fa09f62df6074327105 xmlns="c5805097-db0a-42f9-a837-be9035f1f571">
      <Terms xmlns="http://schemas.microsoft.com/office/infopath/2007/PartnerControls"/>
    </cc3d610261fc4fa09f62df6074327105>
    <OECDKimStatus xmlns="54c4cd27-f286-408f-9ce0-33c1e0f3ab39">Draft</OECDKimStatus>
    <eShareCountryTaxHTField0 xmlns="c9f238dd-bb73-4aef-a7a5-d644ad823e52">
      <Terms xmlns="http://schemas.microsoft.com/office/infopath/2007/PartnerControls"/>
    </eShareCountryTaxHTField0>
    <eShareTopicTaxHTField0 xmlns="c9f238dd-bb73-4aef-a7a5-d644ad823e52">
      <Terms xmlns="http://schemas.microsoft.com/office/infopath/2007/PartnerControls"/>
    </eShareTopicTaxHTField0>
    <k87588ac03a94edb9fcc4f2494cfdd51 xmlns="22a5b7d0-1699-458f-b8e2-4d8247229549">
      <Terms xmlns="http://schemas.microsoft.com/office/infopath/2007/PartnerControls">
        <TermInfo xmlns="http://schemas.microsoft.com/office/infopath/2007/PartnerControls">
          <TermName xmlns="http://schemas.microsoft.com/office/infopath/2007/PartnerControls">ELS/SPD</TermName>
          <TermId xmlns="http://schemas.microsoft.com/office/infopath/2007/PartnerControls">0e85e649-01ae-435c-b5a2-39c5f49851ef</TermId>
        </TermInfo>
      </Terms>
    </k87588ac03a94edb9fcc4f2494cfdd51>
    <OECDProjectLookup xmlns="22a5b7d0-1699-458f-b8e2-4d8247229549">146</OECDProjectLookup>
    <eShareKeywordsTaxHTField0 xmlns="c9f238dd-bb73-4aef-a7a5-d644ad823e52">
      <Terms xmlns="http://schemas.microsoft.com/office/infopath/2007/PartnerControls"/>
    </eShareKeywordsTaxHTField0>
    <OECDExpirationDate xmlns="c5805097-db0a-42f9-a837-be9035f1f571" xsi:nil="true"/>
    <TaxCatchAll xmlns="ca82dde9-3436-4d3d-bddd-d31447390034">
      <Value>49</Value>
      <Value>6</Value>
    </TaxCatchAll>
  </documentManagement>
</p:properties>
</file>

<file path=customXml/item4.xml><?xml version="1.0" encoding="utf-8"?>
<ct:contentTypeSchema xmlns:ct="http://schemas.microsoft.com/office/2006/metadata/contentType" xmlns:ma="http://schemas.microsoft.com/office/2006/metadata/properties/metaAttributes" ct:_="" ma:_="" ma:contentTypeName="Working Document" ma:contentTypeID="0x0101008B4DD370EC31429186F3AD49F0D3098F00D44DBCB9EB4F45278CB5C9765BE5299500A4858B360C6A491AA753F8BCA47AA9100033AB0B45A31F2B489F9B80276A6B0922" ma:contentTypeVersion="73" ma:contentTypeDescription="" ma:contentTypeScope="" ma:versionID="60bf4a5bd89e0625e9bac68ddbe12fdc">
  <xsd:schema xmlns:xsd="http://www.w3.org/2001/XMLSchema" xmlns:xs="http://www.w3.org/2001/XMLSchema" xmlns:p="http://schemas.microsoft.com/office/2006/metadata/properties" xmlns:ns1="54c4cd27-f286-408f-9ce0-33c1e0f3ab39" xmlns:ns2="c5805097-db0a-42f9-a837-be9035f1f571" xmlns:ns3="22a5b7d0-1699-458f-b8e2-4d8247229549" xmlns:ns5="c9f238dd-bb73-4aef-a7a5-d644ad823e52" xmlns:ns6="ca82dde9-3436-4d3d-bddd-d31447390034" xmlns:ns7="http://schemas.microsoft.com/sharepoint/v4" targetNamespace="http://schemas.microsoft.com/office/2006/metadata/properties" ma:root="true" ma:fieldsID="5c7c1e1a7a19ed40b9f1ee3ec23da138" ns1:_="" ns2:_="" ns3:_="" ns5:_="" ns6:_="" ns7:_="">
    <xsd:import namespace="54c4cd27-f286-408f-9ce0-33c1e0f3ab39"/>
    <xsd:import namespace="c5805097-db0a-42f9-a837-be9035f1f571"/>
    <xsd:import namespace="22a5b7d0-1699-458f-b8e2-4d8247229549"/>
    <xsd:import namespace="c9f238dd-bb73-4aef-a7a5-d644ad823e52"/>
    <xsd:import namespace="ca82dde9-3436-4d3d-bddd-d31447390034"/>
    <xsd:import namespace="http://schemas.microsoft.com/sharepoint/v4"/>
    <xsd:element name="properties">
      <xsd:complexType>
        <xsd:sequence>
          <xsd:element name="documentManagement">
            <xsd:complexType>
              <xsd:all>
                <xsd:element ref="ns1:OECDKimStatus" minOccurs="0"/>
                <xsd:element ref="ns1:OECDKimBussinessContext" minOccurs="0"/>
                <xsd:element ref="ns1:OECDKimProvenance" minOccurs="0"/>
                <xsd:element ref="ns2:OECDExpirationDate" minOccurs="0"/>
                <xsd:element ref="ns3:OECDProjectLookup" minOccurs="0"/>
                <xsd:element ref="ns3:OECDProjectManager" minOccurs="0"/>
                <xsd:element ref="ns3:OECDProjectMembers" minOccurs="0"/>
                <xsd:element ref="ns3:OECDMainProject" minOccurs="0"/>
                <xsd:element ref="ns3:OECDPinnedBy" minOccurs="0"/>
                <xsd:element ref="ns5:eShareCountryTaxHTField0" minOccurs="0"/>
                <xsd:element ref="ns5:eShareTopicTaxHTField0" minOccurs="0"/>
                <xsd:element ref="ns5:eShareKeywordsTaxHTField0" minOccurs="0"/>
                <xsd:element ref="ns5:eShareCommitteeTaxHTField0" minOccurs="0"/>
                <xsd:element ref="ns5:eSharePWBTaxHTField0" minOccurs="0"/>
                <xsd:element ref="ns6:TaxCatchAllLabel" minOccurs="0"/>
                <xsd:element ref="ns1:OECDMeetingDate" minOccurs="0"/>
                <xsd:element ref="ns6:OECDlanguage" minOccurs="0"/>
                <xsd:element ref="ns6:TaxCatchAll" minOccurs="0"/>
                <xsd:element ref="ns2:cc3d610261fc4fa09f62df6074327105" minOccurs="0"/>
                <xsd:element ref="ns3:k87588ac03a94edb9fcc4f2494cfdd51" minOccurs="0"/>
                <xsd:element ref="ns3:b8c3c820c0584e889da065b0a99e2c1a" minOccurs="0"/>
                <xsd:element ref="ns7:IconOverlay" minOccurs="0"/>
                <xsd:element ref="ns3:OECDSharingStatus" minOccurs="0"/>
                <xsd:element ref="ns3:OECDCommunityDocumentURL" minOccurs="0"/>
                <xsd:element ref="ns3:OECDCommunityDocumentID" minOccurs="0"/>
                <xsd:element ref="ns2:eShareHorizProjTaxHTField0" minOccurs="0"/>
                <xsd:element ref="ns3:OECDTagsCache" minOccurs="0"/>
                <xsd:element ref="ns2:OECDAllRelatedUsers"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c4cd27-f286-408f-9ce0-33c1e0f3ab39" elementFormDefault="qualified">
    <xsd:import namespace="http://schemas.microsoft.com/office/2006/documentManagement/types"/>
    <xsd:import namespace="http://schemas.microsoft.com/office/infopath/2007/PartnerControls"/>
    <xsd:element name="OECDKimStatus" ma:index="3" nillable="true" ma:displayName="Kim status" ma:default="Draft" ma:description="" ma:format="Dropdown" ma:hidden="true" ma:internalName="OECDKimStatus" ma:readOnly="false">
      <xsd:simpleType>
        <xsd:restriction base="dms:Choice">
          <xsd:enumeration value="Draft"/>
          <xsd:enumeration value="Final"/>
        </xsd:restriction>
      </xsd:simpleType>
    </xsd:element>
    <xsd:element name="OECDKimBussinessContext" ma:index="4" nillable="true" ma:displayName="Kim bussiness context" ma:description="" ma:hidden="true" ma:internalName="OECDKimBussinessContext" ma:readOnly="false">
      <xsd:simpleType>
        <xsd:restriction base="dms:Text"/>
      </xsd:simpleType>
    </xsd:element>
    <xsd:element name="OECDKimProvenance" ma:index="5" nillable="true" ma:displayName="Kim provenance" ma:description="" ma:hidden="true" ma:internalName="OECDKimProvenance" ma:readOnly="false">
      <xsd:simpleType>
        <xsd:restriction base="dms:Text">
          <xsd:maxLength value="255"/>
        </xsd:restriction>
      </xsd:simpleType>
    </xsd:element>
    <xsd:element name="OECDMeetingDate" ma:index="24" nillable="true" ma:displayName="Meeting Date" ma:default="" ma:format="DateOnly" ma:hidden="true" ma:internalName="OECDMeeting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c5805097-db0a-42f9-a837-be9035f1f571" elementFormDefault="qualified">
    <xsd:import namespace="http://schemas.microsoft.com/office/2006/documentManagement/types"/>
    <xsd:import namespace="http://schemas.microsoft.com/office/infopath/2007/PartnerControls"/>
    <xsd:element name="OECDExpirationDate" ma:index="8" nillable="true" ma:displayName="Highlights" ma:default="" ma:description="" ma:format="DateOnly" ma:hidden="true" ma:indexed="true" ma:internalName="OECDExpirationDate" ma:readOnly="false">
      <xsd:simpleType>
        <xsd:restriction base="dms:DateTime"/>
      </xsd:simpleType>
    </xsd:element>
    <xsd:element name="cc3d610261fc4fa09f62df6074327105" ma:index="30" nillable="true" ma:taxonomy="true" ma:internalName="cc3d610261fc4fa09f62df6074327105" ma:taxonomyFieldName="OECDHorizontalProjects" ma:displayName="Horizontal project" ma:readOnly="false" ma:default="" ma:fieldId="{cc3d6102-61fc-4fa0-9f62-df6074327105}" ma:taxonomyMulti="true" ma:sspId="27ec883c-a62c-444f-a935-fcddb579e39d" ma:termSetId="d3ca0e0e-65f9-44bf-9d98-5271504f6d61" ma:anchorId="00000000-0000-0000-0000-000000000000" ma:open="false" ma:isKeyword="false">
      <xsd:complexType>
        <xsd:sequence>
          <xsd:element ref="pc:Terms" minOccurs="0" maxOccurs="1"/>
        </xsd:sequence>
      </xsd:complexType>
    </xsd:element>
    <xsd:element name="eShareHorizProjTaxHTField0" ma:index="39" nillable="true" ma:displayName="OECDHorizontalProjects_0" ma:description="" ma:hidden="true" ma:internalName="eShareHorizProjTaxHTField0">
      <xsd:simpleType>
        <xsd:restriction base="dms:Note"/>
      </xsd:simpleType>
    </xsd:element>
    <xsd:element name="OECDAllRelatedUsers" ma:index="42" nillable="true" ma:displayName="All related users" ma:description="" ma:hidden="true" ma:internalName="OECDAllRelatedUs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22a5b7d0-1699-458f-b8e2-4d8247229549" elementFormDefault="qualified">
    <xsd:import namespace="http://schemas.microsoft.com/office/2006/documentManagement/types"/>
    <xsd:import namespace="http://schemas.microsoft.com/office/infopath/2007/PartnerControls"/>
    <xsd:element name="OECDProjectLookup" ma:index="9" nillable="true" ma:displayName="Project" ma:description="" ma:hidden="true" ma:indexed="true" ma:list="e4a9a165-02d8-4f21-bcc3-1bc2950ca1ad" ma:internalName="OECDProjectLookup" ma:readOnly="false" ma:showField="OECDShortProjectName" ma:web="22a5b7d0-1699-458f-b8e2-4d8247229549">
      <xsd:simpleType>
        <xsd:restriction base="dms:Lookup"/>
      </xsd:simpleType>
    </xsd:element>
    <xsd:element name="OECDProjectManager" ma:index="10" nillable="true" ma:displayName="Project manager" ma:description="" ma:hidden="true" ma:indexed="true" ma:internalName="OECDProjectManager" ma:readOnly="fals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ProjectMembers" ma:index="11" nillable="true" ma:displayName="Project members" ma:description="" ma:hidden="true" ma:internalName="OECDProjectMembers" ma:readOnly="fals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MainProject" ma:index="14" nillable="true" ma:displayName="Main project" ma:description="" ma:hidden="true" ma:indexed="true" ma:list="e4a9a165-02d8-4f21-bcc3-1bc2950ca1ad" ma:internalName="OECDMainProject" ma:readOnly="false" ma:showField="OECDShortProjectName">
      <xsd:simpleType>
        <xsd:restriction base="dms:Lookup"/>
      </xsd:simpleType>
    </xsd:element>
    <xsd:element name="OECDPinnedBy" ma:index="15" nillable="true" ma:displayName="Pinned by" ma:description="" ma:hidden="true" ma:internalName="OECDPinn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k87588ac03a94edb9fcc4f2494cfdd51" ma:index="31" nillable="true" ma:taxonomy="true" ma:internalName="k87588ac03a94edb9fcc4f2494cfdd51" ma:taxonomyFieldName="OECDProjectOwnerStructure" ma:displayName="Project owner" ma:readOnly="false" ma:default="" ma:fieldId="487588ac-03a9-4edb-9fcc-4f2494cfdd51" ma:taxonomyMulti="true" ma:sspId="27ec883c-a62c-444f-a935-fcddb579e39d" ma:termSetId="aeec4dcb-19ee-4bc0-941f-681845b568c9" ma:anchorId="00000000-0000-0000-0000-000000000000" ma:open="false" ma:isKeyword="false">
      <xsd:complexType>
        <xsd:sequence>
          <xsd:element ref="pc:Terms" minOccurs="0" maxOccurs="1"/>
        </xsd:sequence>
      </xsd:complexType>
    </xsd:element>
    <xsd:element name="b8c3c820c0584e889da065b0a99e2c1a" ma:index="32" nillable="true" ma:displayName="Deliverable owner_0" ma:hidden="true" ma:internalName="b8c3c820c0584e889da065b0a99e2c1a">
      <xsd:simpleType>
        <xsd:restriction base="dms:Note"/>
      </xsd:simpleType>
    </xsd:element>
    <xsd:element name="OECDSharingStatus" ma:index="36" nillable="true" ma:displayName="O.N.E Document Sharing Status" ma:description="" ma:hidden="true" ma:internalName="OECDSharingStatus">
      <xsd:simpleType>
        <xsd:restriction base="dms:Text"/>
      </xsd:simpleType>
    </xsd:element>
    <xsd:element name="OECDCommunityDocumentURL" ma:index="37" nillable="true" ma:displayName="O.N.E Community Document URL" ma:description="" ma:hidden="true" ma:internalName="OECDCommunityDocumentURL">
      <xsd:simpleType>
        <xsd:restriction base="dms:Text"/>
      </xsd:simpleType>
    </xsd:element>
    <xsd:element name="OECDCommunityDocumentID" ma:index="38" nillable="true" ma:displayName="O.N.E Community Document ID" ma:decimals="0" ma:description="" ma:hidden="true" ma:internalName="OECDCommunityDocumentID">
      <xsd:simpleType>
        <xsd:restriction base="dms:Number"/>
      </xsd:simpleType>
    </xsd:element>
    <xsd:element name="OECDTagsCache" ma:index="41" nillable="true" ma:displayName="Tags cache" ma:description="" ma:hidden="true" ma:internalName="OECDTagsCache">
      <xsd:simpleType>
        <xsd:restriction base="dms:Note"/>
      </xsd:simpleType>
    </xsd:element>
    <xsd:element name="SharedWithUsers" ma:index="43"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9f238dd-bb73-4aef-a7a5-d644ad823e52" elementFormDefault="qualified">
    <xsd:import namespace="http://schemas.microsoft.com/office/2006/documentManagement/types"/>
    <xsd:import namespace="http://schemas.microsoft.com/office/infopath/2007/PartnerControls"/>
    <xsd:element name="eShareCountryTaxHTField0" ma:index="18" nillable="true" ma:taxonomy="true" ma:internalName="eShareCountryTaxHTField0" ma:taxonomyFieldName="OECDCountry" ma:displayName="Country" ma:readOnly="false" ma:default="" ma:fieldId="{aa366335-bba6-4f71-86c6-f91b1ae503c2}" ma:taxonomyMulti="true" ma:sspId="27ec883c-a62c-444f-a935-fcddb579e39d" ma:termSetId="e1026e78-e24d-4b33-a8f4-6ff75b8e5ad2" ma:anchorId="00000000-0000-0000-0000-000000000000" ma:open="false" ma:isKeyword="false">
      <xsd:complexType>
        <xsd:sequence>
          <xsd:element ref="pc:Terms" minOccurs="0" maxOccurs="1"/>
        </xsd:sequence>
      </xsd:complexType>
    </xsd:element>
    <xsd:element name="eShareTopicTaxHTField0" ma:index="19" nillable="true" ma:taxonomy="true" ma:internalName="eShareTopicTaxHTField0" ma:taxonomyFieldName="OECDTopic" ma:displayName="Topic" ma:readOnly="false" ma:default="" ma:fieldId="{9b5335f8-765c-484a-86dd-d10580650a95}" ma:taxonomyMulti="true" ma:sspId="27ec883c-a62c-444f-a935-fcddb579e39d" ma:termSetId="d0043ed9-7fdc-4b21-8641-a864cc50d2b2" ma:anchorId="00000000-0000-0000-0000-000000000000" ma:open="false" ma:isKeyword="false">
      <xsd:complexType>
        <xsd:sequence>
          <xsd:element ref="pc:Terms" minOccurs="0" maxOccurs="1"/>
        </xsd:sequence>
      </xsd:complexType>
    </xsd:element>
    <xsd:element name="eShareKeywordsTaxHTField0" ma:index="20" nillable="true" ma:taxonomy="true" ma:internalName="eShareKeywordsTaxHTField0" ma:taxonomyFieldName="OECDKeywords" ma:displayName="Keywords" ma:default="" ma:fieldId="{8a7c3663-990d-467c-b1b8-bb4b775674ad}" ma:taxonomyMulti="true" ma:sspId="27ec883c-a62c-444f-a935-fcddb579e39d" ma:termSetId="f51791ee-8e04-4654-a875-fc747102cd45" ma:anchorId="00000000-0000-0000-0000-000000000000" ma:open="true" ma:isKeyword="false">
      <xsd:complexType>
        <xsd:sequence>
          <xsd:element ref="pc:Terms" minOccurs="0" maxOccurs="1"/>
        </xsd:sequence>
      </xsd:complexType>
    </xsd:element>
    <xsd:element name="eShareCommitteeTaxHTField0" ma:index="21" nillable="true" ma:taxonomy="true" ma:internalName="eShareCommitteeTaxHTField0" ma:taxonomyFieldName="OECDCommittee" ma:displayName="Committee" ma:fieldId="{29494d90-e667-47b5-adc1-d09dfb5832ab}" ma:sspId="27ec883c-a62c-444f-a935-fcddb579e39d" ma:termSetId="87919aae-be42-4481-84cf-2389a5c84ac4" ma:anchorId="00000000-0000-0000-0000-000000000000" ma:open="false" ma:isKeyword="false">
      <xsd:complexType>
        <xsd:sequence>
          <xsd:element ref="pc:Terms" minOccurs="0" maxOccurs="1"/>
        </xsd:sequence>
      </xsd:complexType>
    </xsd:element>
    <xsd:element name="eSharePWBTaxHTField0" ma:index="22" nillable="true" ma:taxonomy="true" ma:internalName="eSharePWBTaxHTField0" ma:taxonomyFieldName="OECDPWB" ma:displayName="PWB" ma:default="" ma:fieldId="{fe327ce1-b783-48aa-9b0b-52ad26d1c9f6}" ma:sspId="27ec883c-a62c-444f-a935-fcddb579e39d" ma:termSetId="7bc7477d-4ef0-4820-a158-bb7b3cda138d"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a82dde9-3436-4d3d-bddd-d31447390034" elementFormDefault="qualified">
    <xsd:import namespace="http://schemas.microsoft.com/office/2006/documentManagement/types"/>
    <xsd:import namespace="http://schemas.microsoft.com/office/infopath/2007/PartnerControls"/>
    <xsd:element name="TaxCatchAllLabel" ma:index="23" nillable="true" ma:displayName="Taxonomy Catch All Column1" ma:hidden="true" ma:list="{065777cc-c5a0-47b6-ab6d-968be733c10c}" ma:internalName="TaxCatchAllLabel" ma:readOnly="true" ma:showField="CatchAllDataLabel" ma:web="c5805097-db0a-42f9-a837-be9035f1f571">
      <xsd:complexType>
        <xsd:complexContent>
          <xsd:extension base="dms:MultiChoiceLookup">
            <xsd:sequence>
              <xsd:element name="Value" type="dms:Lookup" maxOccurs="unbounded" minOccurs="0" nillable="true"/>
            </xsd:sequence>
          </xsd:extension>
        </xsd:complexContent>
      </xsd:complexType>
    </xsd:element>
    <xsd:element name="OECDlanguage" ma:index="27" nillable="true" ma:displayName="Document language" ma:default="English" ma:description="" ma:format="Dropdown" ma:hidden="true" ma:internalName="OECDlanguage" ma:readOnly="false">
      <xsd:simpleType>
        <xsd:restriction base="dms:Choice">
          <xsd:enumeration value="English"/>
          <xsd:enumeration value="French"/>
        </xsd:restriction>
      </xsd:simpleType>
    </xsd:element>
    <xsd:element name="TaxCatchAll" ma:index="29" nillable="true" ma:displayName="Taxonomy Catch All Column" ma:hidden="true" ma:list="{065777cc-c5a0-47b6-ab6d-968be733c10c}" ma:internalName="TaxCatchAll" ma:showField="CatchAllData" ma:web="c5805097-db0a-42f9-a837-be9035f1f57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35"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34" ma:displayName="Content Type"/>
        <xsd:element ref="dc:title" minOccurs="0" maxOccurs="1" ma:index="16"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mso-contentType ?>
<FormTemplates xmlns="http://schemas.microsoft.com/sharepoint/v3/contenttype/forms">
  <Display>OECDListFormCollapsible</Display>
  <Edit>OECDListFormCollapsible</Edit>
  <New>OECDListFormCollapsible</New>
</FormTemplates>
</file>

<file path=customXml/itemProps1.xml><?xml version="1.0" encoding="utf-8"?>
<ds:datastoreItem xmlns:ds="http://schemas.openxmlformats.org/officeDocument/2006/customXml" ds:itemID="{B437B82F-3540-4BAA-849F-A51C7660BB28}">
  <ds:schemaRefs>
    <ds:schemaRef ds:uri="http://www.oecd.org/eshare/projectsentre/CtFieldPriority/"/>
    <ds:schemaRef ds:uri="http://schemas.microsoft.com/2003/10/Serialization/Arrays"/>
  </ds:schemaRefs>
</ds:datastoreItem>
</file>

<file path=customXml/itemProps2.xml><?xml version="1.0" encoding="utf-8"?>
<ds:datastoreItem xmlns:ds="http://schemas.openxmlformats.org/officeDocument/2006/customXml" ds:itemID="{1F212F8D-C34E-4939-B170-4B833AAA6E97}">
  <ds:schemaRefs>
    <ds:schemaRef ds:uri="Microsoft.SharePoint.Taxonomy.ContentTypeSync"/>
  </ds:schemaRefs>
</ds:datastoreItem>
</file>

<file path=customXml/itemProps3.xml><?xml version="1.0" encoding="utf-8"?>
<ds:datastoreItem xmlns:ds="http://schemas.openxmlformats.org/officeDocument/2006/customXml" ds:itemID="{B67AA371-D944-4710-82DF-687EC957F226}">
  <ds:schemaRefs>
    <ds:schemaRef ds:uri="http://schemas.microsoft.com/office/infopath/2007/PartnerControls"/>
    <ds:schemaRef ds:uri="http://schemas.microsoft.com/office/2006/documentManagement/types"/>
    <ds:schemaRef ds:uri="c5805097-db0a-42f9-a837-be9035f1f571"/>
    <ds:schemaRef ds:uri="ca82dde9-3436-4d3d-bddd-d31447390034"/>
    <ds:schemaRef ds:uri="http://schemas.microsoft.com/sharepoint/v4"/>
    <ds:schemaRef ds:uri="http://schemas.openxmlformats.org/package/2006/metadata/core-properties"/>
    <ds:schemaRef ds:uri="http://purl.org/dc/terms/"/>
    <ds:schemaRef ds:uri="c9f238dd-bb73-4aef-a7a5-d644ad823e52"/>
    <ds:schemaRef ds:uri="22a5b7d0-1699-458f-b8e2-4d8247229549"/>
    <ds:schemaRef ds:uri="54c4cd27-f286-408f-9ce0-33c1e0f3ab39"/>
    <ds:schemaRef ds:uri="http://purl.org/dc/elements/1.1/"/>
    <ds:schemaRef ds:uri="http://schemas.microsoft.com/office/2006/metadata/properties"/>
    <ds:schemaRef ds:uri="http://www.w3.org/XML/1998/namespace"/>
    <ds:schemaRef ds:uri="http://purl.org/dc/dcmitype/"/>
  </ds:schemaRefs>
</ds:datastoreItem>
</file>

<file path=customXml/itemProps4.xml><?xml version="1.0" encoding="utf-8"?>
<ds:datastoreItem xmlns:ds="http://schemas.openxmlformats.org/officeDocument/2006/customXml" ds:itemID="{5EB38497-E0A6-4C84-9C81-612B64E3FEB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c4cd27-f286-408f-9ce0-33c1e0f3ab39"/>
    <ds:schemaRef ds:uri="c5805097-db0a-42f9-a837-be9035f1f571"/>
    <ds:schemaRef ds:uri="22a5b7d0-1699-458f-b8e2-4d8247229549"/>
    <ds:schemaRef ds:uri="c9f238dd-bb73-4aef-a7a5-d644ad823e52"/>
    <ds:schemaRef ds:uri="ca82dde9-3436-4d3d-bddd-d31447390034"/>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9F268BF6-9865-470B-8B17-5FF9CBDF785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Figure PH 4.1.1</vt:lpstr>
      <vt:lpstr>Figure PH 4.1.2</vt:lpstr>
      <vt:lpstr>Table PH4.1.A1</vt:lpstr>
      <vt:lpstr>'Figure PH 4.1.1'!Print_Area</vt:lpstr>
      <vt:lpstr>'Figure PH 4.1.2'!Print_Area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PITTINI Alice</dc:creator>
  <cp:lastModifiedBy>LLOYD Alexandre, ELS/SPD</cp:lastModifiedBy>
  <cp:lastPrinted>2017-01-23T14:54:18Z</cp:lastPrinted>
  <dcterms:created xsi:type="dcterms:W3CDTF">2016-09-08T20:42:32Z</dcterms:created>
  <dcterms:modified xsi:type="dcterms:W3CDTF">2024-06-26T08:55:13Z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ECDCountry">
    <vt:lpwstr/>
  </property>
  <property fmtid="{D5CDD505-2E9C-101B-9397-08002B2CF9AE}" pid="3" name="OECDTopic">
    <vt:lpwstr/>
  </property>
  <property fmtid="{D5CDD505-2E9C-101B-9397-08002B2CF9AE}" pid="4" name="OECDCommittee">
    <vt:lpwstr/>
  </property>
  <property fmtid="{D5CDD505-2E9C-101B-9397-08002B2CF9AE}" pid="5" name="ContentTypeId">
    <vt:lpwstr>0x0101008B4DD370EC31429186F3AD49F0D3098F00D44DBCB9EB4F45278CB5C9765BE5299500A4858B360C6A491AA753F8BCA47AA9100033AB0B45A31F2B489F9B80276A6B0922</vt:lpwstr>
  </property>
  <property fmtid="{D5CDD505-2E9C-101B-9397-08002B2CF9AE}" pid="6" name="OECDPWB">
    <vt:lpwstr>6;#(n/a)|3adabb5f-45b7-4a20-bdde-219e8d9477af</vt:lpwstr>
  </property>
  <property fmtid="{D5CDD505-2E9C-101B-9397-08002B2CF9AE}" pid="7" name="eShareOrganisationTaxHTField0">
    <vt:lpwstr/>
  </property>
  <property fmtid="{D5CDD505-2E9C-101B-9397-08002B2CF9AE}" pid="8" name="OECDKeywords">
    <vt:lpwstr/>
  </property>
  <property fmtid="{D5CDD505-2E9C-101B-9397-08002B2CF9AE}" pid="9" name="OECDHorizontalProjects">
    <vt:lpwstr/>
  </property>
  <property fmtid="{D5CDD505-2E9C-101B-9397-08002B2CF9AE}" pid="10" name="OECDProjectOwnerStructure">
    <vt:lpwstr>49;#ELS/SPD|0e85e649-01ae-435c-b5a2-39c5f49851ef</vt:lpwstr>
  </property>
  <property fmtid="{D5CDD505-2E9C-101B-9397-08002B2CF9AE}" pid="11" name="OECDOrganisation">
    <vt:lpwstr/>
  </property>
  <property fmtid="{D5CDD505-2E9C-101B-9397-08002B2CF9AE}" pid="12" name="_docset_NoMedatataSyncRequired">
    <vt:lpwstr>False</vt:lpwstr>
  </property>
  <property fmtid="{D5CDD505-2E9C-101B-9397-08002B2CF9AE}" pid="13" name="MSIP_Label_0e5510b0-e729-4ef0-a3dd-4ba0dfe56c99_Enabled">
    <vt:lpwstr>true</vt:lpwstr>
  </property>
  <property fmtid="{D5CDD505-2E9C-101B-9397-08002B2CF9AE}" pid="14" name="MSIP_Label_0e5510b0-e729-4ef0-a3dd-4ba0dfe56c99_SetDate">
    <vt:lpwstr>2024-06-26T08:54:43Z</vt:lpwstr>
  </property>
  <property fmtid="{D5CDD505-2E9C-101B-9397-08002B2CF9AE}" pid="15" name="MSIP_Label_0e5510b0-e729-4ef0-a3dd-4ba0dfe56c99_Method">
    <vt:lpwstr>Standard</vt:lpwstr>
  </property>
  <property fmtid="{D5CDD505-2E9C-101B-9397-08002B2CF9AE}" pid="16" name="MSIP_Label_0e5510b0-e729-4ef0-a3dd-4ba0dfe56c99_Name">
    <vt:lpwstr>Restricted Use</vt:lpwstr>
  </property>
  <property fmtid="{D5CDD505-2E9C-101B-9397-08002B2CF9AE}" pid="17" name="MSIP_Label_0e5510b0-e729-4ef0-a3dd-4ba0dfe56c99_SiteId">
    <vt:lpwstr>ac41c7d4-1f61-460d-b0f4-fc925a2b471c</vt:lpwstr>
  </property>
  <property fmtid="{D5CDD505-2E9C-101B-9397-08002B2CF9AE}" pid="18" name="MSIP_Label_0e5510b0-e729-4ef0-a3dd-4ba0dfe56c99_ActionId">
    <vt:lpwstr>e307fe56-c4ab-491f-9342-5a30dbbc1a4e</vt:lpwstr>
  </property>
  <property fmtid="{D5CDD505-2E9C-101B-9397-08002B2CF9AE}" pid="19" name="MSIP_Label_0e5510b0-e729-4ef0-a3dd-4ba0dfe56c99_ContentBits">
    <vt:lpwstr>2</vt:lpwstr>
  </property>
</Properties>
</file>