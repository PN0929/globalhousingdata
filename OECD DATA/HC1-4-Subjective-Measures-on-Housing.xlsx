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6.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7.xml" ContentType="application/vnd.openxmlformats-officedocument.drawingml.chart+xml"/>
  <Override PartName="/xl/theme/themeOverride1.xml" ContentType="application/vnd.openxmlformats-officedocument.themeOverride+xml"/>
  <Override PartName="/xl/drawings/drawing10.xml" ContentType="application/vnd.openxmlformats-officedocument.drawingml.chartshapes+xml"/>
  <Override PartName="/xl/drawings/drawing11.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ustomProperty36.bin" ContentType="application/vnd.openxmlformats-officedocument.spreadsheetml.customProperty"/>
  <Override PartName="/xl/customProperty37.bin" ContentType="application/vnd.openxmlformats-officedocument.spreadsheetml.customProperty"/>
  <Override PartName="/xl/customProperty38.bin" ContentType="application/vnd.openxmlformats-officedocument.spreadsheetml.customProperty"/>
  <Override PartName="/xl/customProperty39.bin" ContentType="application/vnd.openxmlformats-officedocument.spreadsheetml.customProperty"/>
  <Override PartName="/xl/drawings/drawing12.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3.xml" ContentType="application/vnd.openxmlformats-officedocument.drawingml.chartshapes+xml"/>
  <Override PartName="/xl/drawings/drawing1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5.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main.oecd.org\IISDeploy\IIS10\DMZ\webfs.oecd.org-els-com\COMMON\Affordable_Housing_Database\"/>
    </mc:Choice>
  </mc:AlternateContent>
  <xr:revisionPtr revIDLastSave="0" documentId="13_ncr:1_{7C8174FF-57A1-4064-89B0-8CA84B1377E8}" xr6:coauthVersionLast="47" xr6:coauthVersionMax="47" xr10:uidLastSave="{00000000-0000-0000-0000-000000000000}"/>
  <bookViews>
    <workbookView xWindow="-120" yWindow="-120" windowWidth="29040" windowHeight="15720" xr2:uid="{B77DF5CA-0B96-4E4F-98E0-B5404ED22F53}"/>
  </bookViews>
  <sheets>
    <sheet name="HC1.4.1" sheetId="12" r:id="rId1"/>
    <sheet name="HC1.4.2" sheetId="15" r:id="rId2"/>
    <sheet name="HC1.4.3" sheetId="22" r:id="rId3"/>
    <sheet name="HC1.4.4" sheetId="23" r:id="rId4"/>
    <sheet name="HC1.4.5" sheetId="18" r:id="rId5"/>
    <sheet name="HC1.4.6" sheetId="19" r:id="rId6"/>
    <sheet name="q3f_age" sheetId="6" state="hidden" r:id="rId7"/>
    <sheet name="q18f_overall" sheetId="3" state="hidden" r:id="rId8"/>
  </sheets>
  <externalReferences>
    <externalReference r:id="rId9"/>
    <externalReference r:id="rId10"/>
    <externalReference r:id="rId11"/>
    <externalReference r:id="rId12"/>
    <externalReference r:id="rId13"/>
  </externalReferences>
  <definedNames>
    <definedName name="A2421989L">'[1]AUS Data1'!$B$1:$B$10,'[1]AUS Data1'!$B$11:$B$62</definedName>
    <definedName name="A2421990W">'[1]AUS Data1'!$C$1:$C$10,'[1]AUS Data1'!$C$11:$C$62</definedName>
    <definedName name="A2421991X">'[1]AUS Data1'!$D$1:$D$10,'[1]AUS Data1'!$D$11:$D$62</definedName>
    <definedName name="A2421992A">'[1]AUS Data1'!$E$1:$E$10,'[1]AUS Data1'!$E$11:$E$62</definedName>
    <definedName name="A2421993C">'[1]AUS Data1'!$F$1:$F$10,'[1]AUS Data1'!$F$11:$F$62</definedName>
    <definedName name="A2421994F">'[1]AUS Data1'!$G$1:$G$10,'[1]AUS Data1'!$G$11:$G$62</definedName>
    <definedName name="A2421995J">'[1]AUS Data1'!$H$1:$H$10,'[1]AUS Data1'!$H$11:$H$62</definedName>
    <definedName name="A2421996K">'[1]AUS Data1'!$I$1:$I$10,'[1]AUS Data1'!$I$11:$I$62</definedName>
    <definedName name="A2421997L">'[1]AUS Data1'!$J$1:$J$10,'[1]AUS Data1'!$J$11:$J$62</definedName>
    <definedName name="Date_Range">'[1]AUS Data1'!$A$2:$A$10,'[1]AUS Data1'!$A$11:$A$62</definedName>
    <definedName name="INPUT">[2]OUTPUT!$A$1:$E$65536</definedName>
    <definedName name="ISO">[3]Results!$B$9</definedName>
    <definedName name="Measure">[3]Results!$B$11</definedName>
    <definedName name="_xlnm.Print_Area" localSheetId="1">'HC1.4.2'!$J$6:$XFD$20</definedName>
    <definedName name="_xlnm.Print_Area" localSheetId="2">'HC1.4.3'!$A$1:$L$18</definedName>
    <definedName name="_xlnm.Print_Area" localSheetId="3">'HC1.4.4'!$A$1:$M$19</definedName>
    <definedName name="_xlnm.Print_Area" localSheetId="5">'HC1.4.6'!$A$6:$J$19</definedName>
    <definedName name="_xlnm.Print_Area">#REF!</definedName>
    <definedName name="_xlnm.Print_Titles" localSheetId="2">#REF!</definedName>
    <definedName name="_xlnm.Print_Titles" localSheetId="3">#REF!</definedName>
    <definedName name="_xlnm.Print_Titles">#REF!</definedName>
    <definedName name="shift">[4]Data_Shifted!$I$1</definedName>
    <definedName name="T_country">[5]annex!$M$1:$T$61</definedName>
    <definedName name="title" localSheetId="2">#REF!</definedName>
    <definedName name="title" localSheetId="3">#REF!</definedName>
    <definedName name="title">#REF!</definedName>
    <definedName name="valuevx">42.314159</definedName>
    <definedName name="Year">[3]Results!$B$10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6" l="1"/>
  <c r="F2"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H9" i="6" s="1"/>
  <c r="H23" i="6" l="1"/>
  <c r="H6" i="6"/>
  <c r="J25" i="6"/>
  <c r="J8" i="6"/>
  <c r="L11" i="6"/>
  <c r="J2" i="6"/>
  <c r="L16" i="6"/>
  <c r="H15" i="6"/>
  <c r="L27" i="6"/>
  <c r="K26" i="6"/>
  <c r="L3" i="6"/>
  <c r="H22" i="6"/>
  <c r="L10" i="6"/>
  <c r="L19" i="6"/>
  <c r="H13" i="6"/>
  <c r="J7" i="6"/>
  <c r="H21" i="6"/>
  <c r="J4" i="6"/>
  <c r="J17" i="6"/>
  <c r="L26" i="6"/>
  <c r="I9" i="6"/>
  <c r="K25" i="6"/>
  <c r="I23" i="6"/>
  <c r="K2" i="6"/>
  <c r="I21" i="6"/>
  <c r="K8" i="6"/>
  <c r="I13" i="6"/>
  <c r="K17" i="6"/>
  <c r="I22" i="6"/>
  <c r="K4" i="6"/>
  <c r="I6" i="6"/>
  <c r="K7" i="6"/>
  <c r="I15" i="6"/>
  <c r="H14" i="6"/>
  <c r="J9" i="6"/>
  <c r="L25" i="6"/>
  <c r="H12" i="6"/>
  <c r="J23" i="6"/>
  <c r="L2" i="6"/>
  <c r="H28" i="6"/>
  <c r="J21" i="6"/>
  <c r="L8" i="6"/>
  <c r="H5" i="6"/>
  <c r="J13" i="6"/>
  <c r="L17" i="6"/>
  <c r="H18" i="6"/>
  <c r="J22" i="6"/>
  <c r="L4" i="6"/>
  <c r="H24" i="6"/>
  <c r="J6" i="6"/>
  <c r="L7" i="6"/>
  <c r="H20" i="6"/>
  <c r="J15" i="6"/>
  <c r="I14" i="6"/>
  <c r="K9" i="6"/>
  <c r="I12" i="6"/>
  <c r="K23" i="6"/>
  <c r="I28" i="6"/>
  <c r="K21" i="6"/>
  <c r="I5" i="6"/>
  <c r="K13" i="6"/>
  <c r="I18" i="6"/>
  <c r="K22" i="6"/>
  <c r="I24" i="6"/>
  <c r="K6" i="6"/>
  <c r="I20" i="6"/>
  <c r="K15" i="6"/>
  <c r="H19" i="6"/>
  <c r="J14" i="6"/>
  <c r="L9" i="6"/>
  <c r="H3" i="6"/>
  <c r="J12" i="6"/>
  <c r="L23" i="6"/>
  <c r="H27" i="6"/>
  <c r="J28" i="6"/>
  <c r="L21" i="6"/>
  <c r="H10" i="6"/>
  <c r="J5" i="6"/>
  <c r="L13" i="6"/>
  <c r="H16" i="6"/>
  <c r="J18" i="6"/>
  <c r="L22" i="6"/>
  <c r="H11" i="6"/>
  <c r="J24" i="6"/>
  <c r="L6" i="6"/>
  <c r="H26" i="6"/>
  <c r="J20" i="6"/>
  <c r="L15" i="6"/>
  <c r="I19" i="6"/>
  <c r="K14" i="6"/>
  <c r="I3" i="6"/>
  <c r="K12" i="6"/>
  <c r="I27" i="6"/>
  <c r="K28" i="6"/>
  <c r="I10" i="6"/>
  <c r="K5" i="6"/>
  <c r="I16" i="6"/>
  <c r="K18" i="6"/>
  <c r="I11" i="6"/>
  <c r="K24" i="6"/>
  <c r="I26" i="6"/>
  <c r="K20" i="6"/>
  <c r="J19" i="6"/>
  <c r="L14" i="6"/>
  <c r="H25" i="6"/>
  <c r="J3" i="6"/>
  <c r="L12" i="6"/>
  <c r="H2" i="6"/>
  <c r="J27" i="6"/>
  <c r="L28" i="6"/>
  <c r="H8" i="6"/>
  <c r="J10" i="6"/>
  <c r="L5" i="6"/>
  <c r="H17" i="6"/>
  <c r="J16" i="6"/>
  <c r="L18" i="6"/>
  <c r="H4" i="6"/>
  <c r="J11" i="6"/>
  <c r="L24" i="6"/>
  <c r="H7" i="6"/>
  <c r="J26" i="6"/>
  <c r="L20" i="6"/>
  <c r="K19" i="6"/>
  <c r="I25" i="6"/>
  <c r="K3" i="6"/>
  <c r="I2" i="6"/>
  <c r="K27" i="6"/>
  <c r="I8" i="6"/>
  <c r="K10" i="6"/>
  <c r="I17" i="6"/>
  <c r="K16" i="6"/>
  <c r="I4" i="6"/>
  <c r="K11" i="6"/>
  <c r="I7" i="6"/>
</calcChain>
</file>

<file path=xl/sharedStrings.xml><?xml version="1.0" encoding="utf-8"?>
<sst xmlns="http://schemas.openxmlformats.org/spreadsheetml/2006/main" count="691" uniqueCount="121">
  <si>
    <t>ctrcode</t>
  </si>
  <si>
    <t>nbobs</t>
  </si>
  <si>
    <t>concern</t>
  </si>
  <si>
    <t>AUT</t>
  </si>
  <si>
    <t>CHL</t>
  </si>
  <si>
    <t>BEL</t>
  </si>
  <si>
    <t>ESP</t>
  </si>
  <si>
    <t>CAN</t>
  </si>
  <si>
    <t>MEX</t>
  </si>
  <si>
    <t>CHE</t>
  </si>
  <si>
    <t>GRC</t>
  </si>
  <si>
    <t>TUR</t>
  </si>
  <si>
    <t>DEU</t>
  </si>
  <si>
    <t>PRT</t>
  </si>
  <si>
    <t>DNK</t>
  </si>
  <si>
    <t>LVA</t>
  </si>
  <si>
    <t>KOR</t>
  </si>
  <si>
    <t>EST</t>
  </si>
  <si>
    <t>ISR</t>
  </si>
  <si>
    <t>FIN</t>
  </si>
  <si>
    <t>LTU</t>
  </si>
  <si>
    <t>FRA</t>
  </si>
  <si>
    <t>GBR</t>
  </si>
  <si>
    <t>ITA</t>
  </si>
  <si>
    <t>IRL</t>
  </si>
  <si>
    <t>USA</t>
  </si>
  <si>
    <t>NLD</t>
  </si>
  <si>
    <t>SVN</t>
  </si>
  <si>
    <t>NOR</t>
  </si>
  <si>
    <t>POL</t>
  </si>
  <si>
    <t>age</t>
  </si>
  <si>
    <t>18-24</t>
  </si>
  <si>
    <t>25-34</t>
  </si>
  <si>
    <t>35-44</t>
  </si>
  <si>
    <t>45-54</t>
  </si>
  <si>
    <t>55-64</t>
  </si>
  <si>
    <t>Total</t>
  </si>
  <si>
    <t>Chile</t>
  </si>
  <si>
    <t>Spain</t>
  </si>
  <si>
    <t>Mexico</t>
  </si>
  <si>
    <t>Greece</t>
  </si>
  <si>
    <t>Portugal</t>
  </si>
  <si>
    <t>Latvia</t>
  </si>
  <si>
    <t>Korea</t>
  </si>
  <si>
    <t>Israel</t>
  </si>
  <si>
    <t>Lithuania</t>
  </si>
  <si>
    <t>Germany</t>
  </si>
  <si>
    <t>Italy</t>
  </si>
  <si>
    <t xml:space="preserve">United Kingdom </t>
  </si>
  <si>
    <t>Austria</t>
  </si>
  <si>
    <t>Estonia</t>
  </si>
  <si>
    <t>Switzerland</t>
  </si>
  <si>
    <t>United States</t>
  </si>
  <si>
    <t>Canada</t>
  </si>
  <si>
    <t>Netherlands</t>
  </si>
  <si>
    <t>Slovenia</t>
  </si>
  <si>
    <t>Norway</t>
  </si>
  <si>
    <t>Belgium</t>
  </si>
  <si>
    <t>Poland</t>
  </si>
  <si>
    <t>France</t>
  </si>
  <si>
    <t>Finland</t>
  </si>
  <si>
    <t>Denmark</t>
  </si>
  <si>
    <t>Ireland</t>
  </si>
  <si>
    <t>Türkiye</t>
  </si>
  <si>
    <t xml:space="preserve">Percentage of respondents who responded "concerned" or "very concerned" </t>
  </si>
  <si>
    <t>OECD - 27</t>
  </si>
  <si>
    <t>Notes: Respondents had the option of selecting: 1. Not at all concerned; 2. Not so concerned; 3. Somewhat concerned; 4. Very concerned; 5. Can’t choose / Not applicable</t>
  </si>
  <si>
    <t>Men</t>
  </si>
  <si>
    <t>Women (↓)</t>
  </si>
  <si>
    <t>Tenant (↓)</t>
  </si>
  <si>
    <t>Owner</t>
  </si>
  <si>
    <t>Bottom quintile (↓)</t>
  </si>
  <si>
    <t>Third quintile</t>
  </si>
  <si>
    <t>Top quintile</t>
  </si>
  <si>
    <t>25-64 years old</t>
  </si>
  <si>
    <t>18-24 years old (↓)</t>
  </si>
  <si>
    <t>Notes: Respondents had the option of selecting: 1. Yes 2. No</t>
  </si>
  <si>
    <t>Percentage of respondents who responded "yes"</t>
  </si>
  <si>
    <t>Cyprus</t>
  </si>
  <si>
    <t>Croatia</t>
  </si>
  <si>
    <t>Bulgaria</t>
  </si>
  <si>
    <t>Romania</t>
  </si>
  <si>
    <t>Malta</t>
  </si>
  <si>
    <t>Hungary</t>
  </si>
  <si>
    <t>Disclaimer: http://oe.cd/disclaimer</t>
  </si>
  <si>
    <t>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t>
  </si>
  <si>
    <t>Sweden</t>
  </si>
  <si>
    <t>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t>
  </si>
  <si>
    <t>Czechia</t>
  </si>
  <si>
    <t>Luxembourg</t>
  </si>
  <si>
    <t>Slovak Republic</t>
  </si>
  <si>
    <t>Share of respondents who responded "yes"</t>
  </si>
  <si>
    <t xml:space="preserve">Share of respondents who responded "concerned" or "very concerned" </t>
  </si>
  <si>
    <t xml:space="preserve">Share of respondents who responded "very likely" or "rather likely" </t>
  </si>
  <si>
    <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</si>
  <si>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A. By gender</t>
  </si>
  <si>
    <t>B. By tenure</t>
  </si>
  <si>
    <t>C. By income quintile</t>
  </si>
  <si>
    <t>D. By age</t>
  </si>
  <si>
    <t>OECD-23</t>
  </si>
  <si>
    <t>Share of people who responded "concerned" or "very concerned" to the question, "Thinking about the next year or two, how concerned are you about not being able to find/maintain adequate housing", 2024</t>
  </si>
  <si>
    <t>Please cite this as: OECD (2025), OECD Affordable Housing Database - indicator HC1.4 Subjective measures on housing, https://oe.cd/ahd.</t>
  </si>
  <si>
    <t xml:space="preserve">Figure HC1.4.5. Share of respondents reporting a willingness to pay additional taxes to benefit from better housing supports </t>
  </si>
  <si>
    <t>Figure HC1.4.3.  Share of respondents reporting that they struggled to pay their rent or mortgage</t>
  </si>
  <si>
    <t xml:space="preserve">Figure HC1.4.2. Share of people concerned about being able to find/maintain adequate housing by gender, tenure, income quintile and age. </t>
  </si>
  <si>
    <t xml:space="preserve">Figure HC1.4.1. Share of people concerned about being able to find/maintain adequate housing </t>
  </si>
  <si>
    <t xml:space="preserve">Notes: Respondents had the option of selecting: 1. Not at all concerned; 2. Not so concerned; 3. Somewhat concerned; 4. Very concerned; 5. Can’t choose / Not applicable. </t>
  </si>
  <si>
    <r>
      <rPr>
        <i/>
        <sz val="8"/>
        <color theme="1"/>
        <rFont val="Arial Narrow"/>
        <family val="2"/>
      </rPr>
      <t>Source</t>
    </r>
    <r>
      <rPr>
        <sz val="8"/>
        <color theme="1"/>
        <rFont val="Arial Narrow"/>
        <family val="2"/>
      </rPr>
      <t>: Eurofound (2025), Living and Working in the EU e-survey, Dublin, https://www.eurofound.europa.eu/en/data-catalogue/living-and-working-eu-e-survey; US Census Bureau, Household Pulse Survey (2025)</t>
    </r>
  </si>
  <si>
    <r>
      <rPr>
        <i/>
        <sz val="8"/>
        <color theme="1"/>
        <rFont val="Arial Narrow"/>
        <family val="2"/>
      </rPr>
      <t>Source</t>
    </r>
    <r>
      <rPr>
        <sz val="8"/>
        <color theme="1"/>
        <rFont val="Arial Narrow"/>
        <family val="2"/>
      </rPr>
      <t>: Eurofound (2025), Living and Working in the EU e-survey, Dublin, https://www.eurofound.europa.eu/en/data-catalogue/living-and-working-eu-e-survey; US Census Bureau, Household Pulse Survey Phase (2025)</t>
    </r>
  </si>
  <si>
    <t xml:space="preserve">Figure HC1.4.4. Share of respondents reporting that they were likely to leave their accommodation due to affordability concerns </t>
  </si>
  <si>
    <t>Share of people who responded "concerned" or "very concerned" to the question : "Thinking about the next year or two, how concerned are you about not being able to find/maintain adequate housing", 2024</t>
  </si>
  <si>
    <t>United States (2)</t>
  </si>
  <si>
    <t xml:space="preserve">Source: OECD (2025), More Effective Social Protection for Stronger Economic Growth: Main Findings from the 2024 OECD Risks that Matter Survey, OECD Publishing, Paris, https://doi.org/10.1787/3947946a-en. </t>
  </si>
  <si>
    <t>Share of people who responded "yes" to the question, "Would you be willing to pay an additional 2% of your income in taxes/social contributions to benefit from better provision of and access to housing supports (e.g. social housing services, housing benefits, etc.)", by tenure, 2024</t>
  </si>
  <si>
    <t>Share of people who responded "yes" to the question, "Would you be willing to pay an additional 2% of your income in taxes/social contributions to benefit from better provision of and access to housing supports (e.g. social housing services, housing benefits, etc.)", 2024</t>
  </si>
  <si>
    <t>Figure HC1.4.6. Share of tenants and homeowners reporting a willingness to pay additional taxes to benefit from better housing supports</t>
  </si>
  <si>
    <t>Share of people who responded "yes" to the question, "Has your household been in arrears at any time during the past 3 months, that is, unable to pay as scheduled any of the following?", 2024</t>
  </si>
  <si>
    <t xml:space="preserve">Share of people who responded "very likely" or "rather likely" to the question, "How likely or unlikely do you think it is that you will need to leave your accommodation within the next 3 months because you can no longer afford it?", 2024 </t>
  </si>
  <si>
    <t>EU-27</t>
  </si>
  <si>
    <r>
      <t xml:space="preserve">Note: 
</t>
    </r>
    <r>
      <rPr>
        <sz val="8"/>
        <color theme="1"/>
        <rFont val="Arial Narrow"/>
        <family val="2"/>
      </rPr>
      <t>1. Data for EU countries are collected with non-probability sampling and have been weighted. Data are not representative of the entire population. For further discussion of the methodological limitations, see https://www.eurofound.europa.eu/en/surveys-and-data/surveys/living-and-working-in-the-eu-e-survey. 
2. Data for the United States are drawn from the US Census Bureau and are therefore not fully comparable with data from European countries. Respondents in Europe were asked about the likelihood that they will need to leave their accommodation within the next 3 months because they could no longer afford it. In the US, respondents were asked about the likelihood of leaving their home due to foreclosure or eviction in the next 2 months.</t>
    </r>
  </si>
  <si>
    <r>
      <t xml:space="preserve">Notes: </t>
    </r>
    <r>
      <rPr>
        <sz val="8"/>
        <color theme="1"/>
        <rFont val="Arial Narrow"/>
        <family val="2"/>
      </rPr>
      <t xml:space="preserve">
1. Data for EU countries are collected with non-probability sampling and have been weighted. Data are not representative of the entire population. For further discussion of the methodological limitations, see https://www.eurofound.europa.eu/en/surveys-and-data/surveys/living-and-working-in-the-eu-e-survey. 
2. Data for the United States are drawn from the US Census Bureau and are therefore not fully comparable with data from European countries. Respondents in Europe were asked if at any time during the past 3 months, their household has been unable to pay as scheduled their rent or mortgage payments for accommodation. In the US, respondents were asked if their rent or mortgage from the last month was deferred.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</si>
</sst>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
    <numFmt numFmtId="165" formatCode="0.0%"/>
    <numFmt numFmtId="166" formatCode="0.0000%"/>
    <numFmt numFmtId="167" formatCode="0.00000%"/>
  </numFmts>
  <fonts count="20" x14ac:knownFonts="1">
    <font>
      <sz val="11"/>
      <name val="Calibri"/>
      <family val="2"/>
    </font>
    <font>
      <sz val="10"/>
      <color theme="1"/>
      <name val="Arial"/>
      <family val="2"/>
    </font>
    <font>
      <sz val="11"/>
      <name val="Calibri"/>
      <family val="2"/>
    </font>
    <font>
      <sz val="11"/>
      <name val="Calibri"/>
      <family val="2"/>
    </font>
    <font>
      <sz val="11"/>
      <name val="Arial Narrow"/>
      <family val="2"/>
    </font>
    <font>
      <sz val="11"/>
      <color rgb="FF000000"/>
      <name val="Arial Narrow"/>
      <family val="2"/>
    </font>
    <font>
      <b/>
      <sz val="11"/>
      <name val="Arial Narrow"/>
      <family val="2"/>
    </font>
    <font>
      <sz val="8"/>
      <color rgb="FF000000"/>
      <name val="Arial Narrow"/>
      <family val="2"/>
    </font>
    <font>
      <sz val="8"/>
      <name val="Arial Narrow"/>
      <family val="2"/>
    </font>
    <font>
      <sz val="10"/>
      <name val="Arial Narrow"/>
      <family val="2"/>
    </font>
    <font>
      <b/>
      <sz val="11"/>
      <color rgb="FF000000"/>
      <name val="Arial Narrow"/>
      <family val="2"/>
    </font>
    <font>
      <sz val="11"/>
      <color theme="1"/>
      <name val="Calibri"/>
      <family val="2"/>
      <scheme val="minor"/>
    </font>
    <font>
      <sz val="9"/>
      <color theme="1"/>
      <name val="Arial Narrow"/>
      <family val="2"/>
    </font>
    <font>
      <b/>
      <sz val="9"/>
      <color theme="1"/>
      <name val="Arial Narrow"/>
      <family val="2"/>
    </font>
    <font>
      <i/>
      <sz val="8"/>
      <color theme="1"/>
      <name val="Arial Narrow"/>
      <family val="2"/>
    </font>
    <font>
      <sz val="8"/>
      <color theme="1"/>
      <name val="Arial Narrow"/>
      <family val="2"/>
    </font>
    <font>
      <sz val="8"/>
      <color theme="1"/>
      <name val="Arial"/>
      <family val="2"/>
    </font>
    <font>
      <u/>
      <sz val="10"/>
      <color theme="10"/>
      <name val="Arial"/>
      <family val="2"/>
    </font>
    <font>
      <u/>
      <sz val="8"/>
      <color theme="10"/>
      <name val="Arial Narrow"/>
      <family val="2"/>
    </font>
    <font>
      <u/>
      <sz val="11"/>
      <color theme="10"/>
      <name val="Calibri"/>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thin">
        <color theme="1"/>
      </bottom>
      <diagonal/>
    </border>
  </borders>
  <cellStyleXfs count="7">
    <xf numFmtId="0" fontId="0" fillId="0" borderId="0"/>
    <xf numFmtId="0" fontId="3" fillId="0" borderId="0"/>
    <xf numFmtId="9" fontId="2" fillId="0" borderId="0" applyFont="0" applyFill="0" applyBorder="0" applyAlignment="0" applyProtection="0"/>
    <xf numFmtId="0" fontId="11" fillId="0" borderId="0"/>
    <xf numFmtId="0" fontId="1" fillId="0" borderId="0"/>
    <xf numFmtId="0" fontId="17" fillId="0" borderId="0" applyNumberFormat="0" applyFill="0" applyBorder="0" applyAlignment="0" applyProtection="0"/>
    <xf numFmtId="0" fontId="19" fillId="0" borderId="0" applyNumberFormat="0" applyFill="0" applyBorder="0" applyAlignment="0" applyProtection="0"/>
  </cellStyleXfs>
  <cellXfs count="111">
    <xf numFmtId="0" fontId="0" fillId="0" borderId="0" xfId="0"/>
    <xf numFmtId="0" fontId="3" fillId="0" borderId="0" xfId="1"/>
    <xf numFmtId="1" fontId="3" fillId="0" borderId="0" xfId="1" applyNumberFormat="1"/>
    <xf numFmtId="1" fontId="0" fillId="0" borderId="0" xfId="0" applyNumberFormat="1"/>
    <xf numFmtId="164" fontId="3" fillId="0" borderId="0" xfId="1" applyNumberFormat="1"/>
    <xf numFmtId="0" fontId="0" fillId="2" borderId="0" xfId="0" applyFill="1"/>
    <xf numFmtId="0" fontId="4" fillId="2" borderId="0" xfId="0" applyFont="1" applyFill="1"/>
    <xf numFmtId="0" fontId="5" fillId="2" borderId="0" xfId="0" applyFont="1" applyFill="1"/>
    <xf numFmtId="0" fontId="4" fillId="2" borderId="0" xfId="1" applyFont="1" applyFill="1"/>
    <xf numFmtId="0" fontId="4" fillId="3" borderId="0" xfId="1" applyFont="1" applyFill="1"/>
    <xf numFmtId="0" fontId="4" fillId="2" borderId="0" xfId="0" applyFont="1" applyFill="1" applyBorder="1"/>
    <xf numFmtId="0" fontId="4" fillId="2" borderId="1" xfId="1" applyFont="1" applyFill="1" applyBorder="1"/>
    <xf numFmtId="0" fontId="4" fillId="2" borderId="0" xfId="0" applyFont="1" applyFill="1" applyAlignment="1">
      <alignment vertical="center" wrapText="1"/>
    </xf>
    <xf numFmtId="0" fontId="4" fillId="2" borderId="0" xfId="0" applyFont="1" applyFill="1" applyAlignment="1">
      <alignment horizontal="left" vertical="center" wrapText="1"/>
    </xf>
    <xf numFmtId="0" fontId="6" fillId="2" borderId="0" xfId="0" applyFont="1" applyFill="1" applyAlignment="1">
      <alignment vertical="center" wrapText="1"/>
    </xf>
    <xf numFmtId="0" fontId="6" fillId="3" borderId="0" xfId="1" applyFont="1" applyFill="1"/>
    <xf numFmtId="0" fontId="8" fillId="2" borderId="0" xfId="0" applyFont="1" applyFill="1"/>
    <xf numFmtId="0" fontId="4" fillId="2" borderId="0" xfId="1" applyFont="1" applyFill="1" applyBorder="1"/>
    <xf numFmtId="0" fontId="4" fillId="2" borderId="1" xfId="1" applyFont="1" applyFill="1" applyBorder="1" applyAlignment="1">
      <alignment horizontal="center" wrapText="1"/>
    </xf>
    <xf numFmtId="9" fontId="4" fillId="3" borderId="0" xfId="2" applyFont="1" applyFill="1" applyAlignment="1">
      <alignment horizontal="center"/>
    </xf>
    <xf numFmtId="9" fontId="4" fillId="2" borderId="0" xfId="2" applyFont="1" applyFill="1" applyAlignment="1">
      <alignment horizontal="center"/>
    </xf>
    <xf numFmtId="9" fontId="4" fillId="2" borderId="1" xfId="2" applyFont="1" applyFill="1" applyBorder="1" applyAlignment="1">
      <alignment horizontal="center"/>
    </xf>
    <xf numFmtId="0" fontId="4" fillId="0" borderId="0" xfId="0" applyFont="1"/>
    <xf numFmtId="0" fontId="4" fillId="2" borderId="1" xfId="0" applyFont="1" applyFill="1" applyBorder="1" applyAlignment="1">
      <alignment horizontal="center"/>
    </xf>
    <xf numFmtId="0" fontId="5" fillId="3" borderId="0" xfId="1" applyFont="1" applyFill="1"/>
    <xf numFmtId="9" fontId="5" fillId="3" borderId="0" xfId="2" applyFont="1" applyFill="1" applyAlignment="1">
      <alignment horizontal="center"/>
    </xf>
    <xf numFmtId="0" fontId="5" fillId="0" borderId="0" xfId="0" applyFont="1"/>
    <xf numFmtId="0" fontId="5" fillId="2" borderId="0" xfId="1" applyFont="1" applyFill="1"/>
    <xf numFmtId="9" fontId="5" fillId="2" borderId="0" xfId="2" applyFont="1" applyFill="1" applyAlignment="1">
      <alignment horizontal="center"/>
    </xf>
    <xf numFmtId="0" fontId="10" fillId="3" borderId="0" xfId="1" applyFont="1" applyFill="1"/>
    <xf numFmtId="9" fontId="10" fillId="3" borderId="0" xfId="2" applyFont="1" applyFill="1" applyAlignment="1">
      <alignment horizontal="center"/>
    </xf>
    <xf numFmtId="9" fontId="6" fillId="3" borderId="0" xfId="2" applyFont="1" applyFill="1" applyAlignment="1">
      <alignment horizontal="center"/>
    </xf>
    <xf numFmtId="0" fontId="5" fillId="2" borderId="1" xfId="1" applyFont="1" applyFill="1" applyBorder="1"/>
    <xf numFmtId="9" fontId="5" fillId="2" borderId="1" xfId="2" applyFont="1" applyFill="1" applyBorder="1" applyAlignment="1">
      <alignment horizontal="center"/>
    </xf>
    <xf numFmtId="0" fontId="10" fillId="2" borderId="0" xfId="1" applyFont="1" applyFill="1"/>
    <xf numFmtId="9" fontId="10" fillId="2" borderId="0" xfId="2" applyFont="1" applyFill="1" applyAlignment="1">
      <alignment horizontal="center"/>
    </xf>
    <xf numFmtId="9" fontId="4" fillId="2" borderId="0" xfId="2" applyFont="1" applyFill="1" applyBorder="1" applyAlignment="1">
      <alignment horizontal="center"/>
    </xf>
    <xf numFmtId="0" fontId="4" fillId="3" borderId="0" xfId="1" applyFont="1" applyFill="1" applyBorder="1"/>
    <xf numFmtId="9" fontId="4" fillId="3" borderId="0" xfId="2" applyFont="1" applyFill="1" applyBorder="1" applyAlignment="1">
      <alignment horizontal="center"/>
    </xf>
    <xf numFmtId="0" fontId="6" fillId="2" borderId="0" xfId="1" applyFont="1" applyFill="1"/>
    <xf numFmtId="9" fontId="6" fillId="2" borderId="0" xfId="2" applyFont="1" applyFill="1" applyAlignment="1">
      <alignment horizontal="center"/>
    </xf>
    <xf numFmtId="0" fontId="11" fillId="2" borderId="0" xfId="3" applyFill="1"/>
    <xf numFmtId="0" fontId="12" fillId="2" borderId="1" xfId="3" applyFont="1" applyFill="1" applyBorder="1"/>
    <xf numFmtId="0" fontId="11" fillId="2" borderId="0" xfId="3" applyFill="1" applyAlignment="1">
      <alignment horizontal="left"/>
    </xf>
    <xf numFmtId="0" fontId="12" fillId="3" borderId="0" xfId="3" applyFont="1" applyFill="1"/>
    <xf numFmtId="0" fontId="12" fillId="2" borderId="0" xfId="3" applyFont="1" applyFill="1"/>
    <xf numFmtId="4" fontId="12" fillId="2" borderId="0" xfId="3" applyNumberFormat="1" applyFont="1" applyFill="1" applyAlignment="1">
      <alignment horizontal="right"/>
    </xf>
    <xf numFmtId="0" fontId="11" fillId="2" borderId="0" xfId="3" applyFill="1" applyAlignment="1">
      <alignment horizontal="right"/>
    </xf>
    <xf numFmtId="2" fontId="11" fillId="2" borderId="0" xfId="3" applyNumberFormat="1" applyFill="1" applyAlignment="1">
      <alignment horizontal="left"/>
    </xf>
    <xf numFmtId="2" fontId="11" fillId="2" borderId="0" xfId="3" applyNumberFormat="1" applyFill="1"/>
    <xf numFmtId="0" fontId="13" fillId="3" borderId="0" xfId="3" applyFont="1" applyFill="1"/>
    <xf numFmtId="0" fontId="16" fillId="2" borderId="0" xfId="3" applyFont="1" applyFill="1"/>
    <xf numFmtId="0" fontId="16" fillId="2" borderId="0" xfId="3" applyFont="1" applyFill="1" applyAlignment="1">
      <alignment horizontal="left"/>
    </xf>
    <xf numFmtId="2" fontId="16" fillId="2" borderId="0" xfId="3" applyNumberFormat="1" applyFont="1" applyFill="1" applyAlignment="1">
      <alignment horizontal="left"/>
    </xf>
    <xf numFmtId="2" fontId="16" fillId="2" borderId="0" xfId="3" applyNumberFormat="1" applyFont="1" applyFill="1"/>
    <xf numFmtId="0" fontId="18" fillId="2" borderId="0" xfId="5" applyFont="1" applyFill="1"/>
    <xf numFmtId="0" fontId="8" fillId="2" borderId="0" xfId="3" applyFont="1" applyFill="1"/>
    <xf numFmtId="4" fontId="16" fillId="2" borderId="0" xfId="3" applyNumberFormat="1" applyFont="1" applyFill="1" applyAlignment="1">
      <alignment horizontal="right"/>
    </xf>
    <xf numFmtId="4" fontId="16" fillId="2" borderId="0" xfId="3" applyNumberFormat="1" applyFont="1" applyFill="1"/>
    <xf numFmtId="9" fontId="4" fillId="2" borderId="0" xfId="0" applyNumberFormat="1" applyFont="1" applyFill="1"/>
    <xf numFmtId="165" fontId="4" fillId="2" borderId="0" xfId="0" applyNumberFormat="1" applyFont="1" applyFill="1"/>
    <xf numFmtId="166" fontId="4" fillId="2" borderId="0" xfId="0" applyNumberFormat="1" applyFont="1" applyFill="1"/>
    <xf numFmtId="167" fontId="4" fillId="2" borderId="0" xfId="0" applyNumberFormat="1" applyFont="1" applyFill="1"/>
    <xf numFmtId="9" fontId="12" fillId="3" borderId="0" xfId="2" applyFont="1" applyFill="1" applyAlignment="1">
      <alignment horizontal="right"/>
    </xf>
    <xf numFmtId="9" fontId="12" fillId="2" borderId="0" xfId="2" applyFont="1" applyFill="1" applyAlignment="1">
      <alignment horizontal="right"/>
    </xf>
    <xf numFmtId="9" fontId="0" fillId="2" borderId="0" xfId="0" applyNumberFormat="1" applyFill="1"/>
    <xf numFmtId="9" fontId="13" fillId="3" borderId="0" xfId="2" applyFont="1" applyFill="1" applyAlignment="1">
      <alignment horizontal="right"/>
    </xf>
    <xf numFmtId="9" fontId="12" fillId="2" borderId="1" xfId="2" applyFont="1" applyFill="1" applyBorder="1" applyAlignment="1">
      <alignment horizontal="right"/>
    </xf>
    <xf numFmtId="9" fontId="0" fillId="2" borderId="0" xfId="2" applyFont="1" applyFill="1" applyAlignment="1">
      <alignment vertical="center"/>
    </xf>
    <xf numFmtId="9" fontId="11" fillId="2" borderId="0" xfId="3" applyNumberFormat="1" applyFill="1" applyAlignment="1">
      <alignment horizontal="left"/>
    </xf>
    <xf numFmtId="0" fontId="5" fillId="2" borderId="0" xfId="1" applyFont="1" applyFill="1" applyBorder="1"/>
    <xf numFmtId="0" fontId="10" fillId="2" borderId="0" xfId="1" applyFont="1" applyFill="1" applyBorder="1"/>
    <xf numFmtId="0" fontId="6" fillId="2" borderId="0" xfId="1" applyFont="1" applyFill="1" applyBorder="1"/>
    <xf numFmtId="9" fontId="6" fillId="2" borderId="0" xfId="2" applyFont="1" applyFill="1" applyBorder="1" applyAlignment="1">
      <alignment horizontal="center"/>
    </xf>
    <xf numFmtId="10" fontId="0" fillId="2" borderId="0" xfId="0" applyNumberFormat="1" applyFill="1"/>
    <xf numFmtId="0" fontId="8" fillId="2" borderId="0" xfId="0" applyFont="1" applyFill="1" applyAlignment="1">
      <alignment horizontal="left" wrapText="1"/>
    </xf>
    <xf numFmtId="0" fontId="12" fillId="2" borderId="0" xfId="0" applyFont="1" applyFill="1"/>
    <xf numFmtId="0" fontId="12" fillId="2" borderId="0" xfId="0" applyFont="1" applyFill="1" applyAlignment="1">
      <alignment vertical="top"/>
    </xf>
    <xf numFmtId="0" fontId="18" fillId="2" borderId="0" xfId="6" applyFont="1" applyFill="1"/>
    <xf numFmtId="0" fontId="15" fillId="2" borderId="0" xfId="0" applyFont="1" applyFill="1"/>
    <xf numFmtId="0" fontId="15" fillId="2" borderId="0" xfId="0" applyFont="1" applyFill="1" applyAlignment="1">
      <alignment vertical="top"/>
    </xf>
    <xf numFmtId="0" fontId="15" fillId="2" borderId="0" xfId="0" applyFont="1" applyFill="1" applyAlignment="1"/>
    <xf numFmtId="1" fontId="12" fillId="2" borderId="1" xfId="3" applyNumberFormat="1" applyFont="1" applyFill="1" applyBorder="1" applyAlignment="1">
      <alignment wrapText="1"/>
    </xf>
    <xf numFmtId="0" fontId="14" fillId="2" borderId="0" xfId="3" applyFont="1" applyFill="1" applyAlignment="1">
      <alignment horizontal="left" vertical="center" wrapText="1"/>
    </xf>
    <xf numFmtId="0" fontId="14" fillId="2" borderId="0" xfId="3" applyFont="1" applyFill="1" applyAlignment="1">
      <alignment horizontal="left" vertical="top" wrapText="1"/>
    </xf>
    <xf numFmtId="0" fontId="12" fillId="2" borderId="0" xfId="0" applyFont="1" applyFill="1" applyAlignment="1"/>
    <xf numFmtId="0" fontId="6" fillId="2" borderId="0" xfId="3" applyFont="1" applyFill="1" applyAlignment="1">
      <alignment vertical="center" wrapText="1"/>
    </xf>
    <xf numFmtId="0" fontId="12" fillId="2" borderId="0" xfId="3" applyFont="1" applyFill="1" applyAlignment="1">
      <alignment vertical="center" wrapText="1"/>
    </xf>
    <xf numFmtId="0" fontId="4" fillId="0" borderId="0" xfId="3" applyFont="1" applyAlignment="1">
      <alignment vertical="center" wrapText="1"/>
    </xf>
    <xf numFmtId="0" fontId="7" fillId="2" borderId="0" xfId="0" applyFont="1" applyFill="1" applyAlignment="1">
      <alignment vertical="top"/>
    </xf>
    <xf numFmtId="0" fontId="8" fillId="2" borderId="0" xfId="0" applyFont="1" applyFill="1" applyAlignment="1">
      <alignment wrapText="1"/>
    </xf>
    <xf numFmtId="165" fontId="0" fillId="2" borderId="0" xfId="0" applyNumberFormat="1" applyFill="1"/>
    <xf numFmtId="10" fontId="0" fillId="2" borderId="0" xfId="2" applyNumberFormat="1" applyFont="1" applyFill="1" applyAlignment="1">
      <alignment vertical="center"/>
    </xf>
    <xf numFmtId="0" fontId="12" fillId="2" borderId="2" xfId="3" applyFont="1" applyFill="1" applyBorder="1"/>
    <xf numFmtId="9" fontId="12" fillId="2" borderId="2" xfId="2" applyFont="1" applyFill="1" applyBorder="1" applyAlignment="1">
      <alignment horizontal="right"/>
    </xf>
    <xf numFmtId="0" fontId="4" fillId="2" borderId="0" xfId="1" applyFont="1" applyFill="1" applyBorder="1" applyAlignment="1">
      <alignment horizontal="center" wrapText="1"/>
    </xf>
    <xf numFmtId="0" fontId="4" fillId="2" borderId="1" xfId="1" applyFont="1" applyFill="1" applyBorder="1" applyAlignment="1">
      <alignment horizontal="center" wrapText="1"/>
    </xf>
    <xf numFmtId="0" fontId="8" fillId="2" borderId="0" xfId="0" applyFont="1" applyFill="1" applyAlignment="1">
      <alignment horizontal="left" wrapText="1"/>
    </xf>
    <xf numFmtId="0" fontId="9"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left" vertical="top" wrapText="1"/>
    </xf>
    <xf numFmtId="0" fontId="9" fillId="2" borderId="0" xfId="0" applyFont="1" applyFill="1" applyAlignment="1">
      <alignment horizontal="left" vertical="center" wrapText="1"/>
    </xf>
    <xf numFmtId="1" fontId="12" fillId="2" borderId="0" xfId="3" applyNumberFormat="1" applyFont="1" applyFill="1" applyBorder="1" applyAlignment="1">
      <alignment horizontal="center"/>
    </xf>
    <xf numFmtId="0" fontId="8" fillId="2" borderId="0" xfId="3" applyFont="1" applyFill="1" applyAlignment="1">
      <alignment horizontal="left" vertical="top" wrapText="1"/>
    </xf>
    <xf numFmtId="0" fontId="15" fillId="2" borderId="0" xfId="4" applyFont="1" applyFill="1" applyAlignment="1">
      <alignment horizontal="left" vertical="top" wrapText="1"/>
    </xf>
    <xf numFmtId="0" fontId="6" fillId="2" borderId="0" xfId="3" applyFont="1" applyFill="1" applyAlignment="1">
      <alignment horizontal="center" vertical="center" wrapText="1"/>
    </xf>
    <xf numFmtId="0" fontId="12" fillId="2" borderId="0" xfId="3" applyFont="1" applyFill="1" applyAlignment="1">
      <alignment horizontal="center" vertical="center" wrapText="1"/>
    </xf>
    <xf numFmtId="0" fontId="14" fillId="2" borderId="0" xfId="3" applyFont="1" applyFill="1" applyAlignment="1">
      <alignment horizontal="left" vertical="center" wrapText="1"/>
    </xf>
    <xf numFmtId="0" fontId="11" fillId="2" borderId="0" xfId="3" applyFill="1" applyAlignment="1">
      <alignment wrapText="1"/>
    </xf>
    <xf numFmtId="0" fontId="14" fillId="2" borderId="0" xfId="3" applyFont="1" applyFill="1" applyAlignment="1">
      <alignment horizontal="left" vertical="top" wrapText="1"/>
    </xf>
    <xf numFmtId="0" fontId="15" fillId="2" borderId="0" xfId="0" applyFont="1" applyFill="1" applyAlignment="1">
      <alignment horizontal="left" wrapText="1"/>
    </xf>
  </cellXfs>
  <cellStyles count="7">
    <cellStyle name="Hyperlink" xfId="6" builtinId="8"/>
    <cellStyle name="Hyperlink 2" xfId="5" xr:uid="{FDB248AE-CB51-4606-89A3-39AF7A3D704F}"/>
    <cellStyle name="Normal" xfId="0" builtinId="0"/>
    <cellStyle name="Normal 2" xfId="1" xr:uid="{F2D6E9CD-9384-499D-BC99-5E0E2363B188}"/>
    <cellStyle name="Normal 2 2" xfId="4" xr:uid="{FD6704B5-5C13-4E3C-AC2A-481EB74A0ACD}"/>
    <cellStyle name="Normal 3" xfId="3" xr:uid="{2F0E2ACD-92B7-4097-84E6-7C85C0D984CE}"/>
    <cellStyle name="Percent" xfId="2" builtinId="5"/>
  </cellStyles>
  <dxfs count="3">
    <dxf>
      <fill>
        <patternFill>
          <bgColor rgb="FFFFFF00"/>
        </patternFill>
      </fill>
    </dxf>
    <dxf>
      <font>
        <color rgb="FF9C0006"/>
      </font>
      <fill>
        <patternFill>
          <bgColor rgb="FFFFC7CE"/>
        </patternFill>
      </fill>
    </dxf>
    <dxf>
      <fill>
        <patternFill>
          <bgColor rgb="FFFFFF00"/>
        </patternFill>
      </fill>
    </dxf>
  </dxfs>
  <tableStyles count="0" defaultTableStyle="TableStyleMedium2" defaultPivotStyle="PivotStyleLight16"/>
  <colors>
    <mruColors>
      <color rgb="FFD72B00"/>
      <color rgb="FF002F6C"/>
      <color rgb="FFEAEAEA"/>
      <color rgb="FF7FA8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 Id="rId22"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1.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25504391694075E-3"/>
          <c:y val="1.9846672732664147E-2"/>
          <c:w val="0.98691174341245891"/>
          <c:h val="0.96526832271783769"/>
        </c:manualLayout>
      </c:layout>
      <c:barChart>
        <c:barDir val="col"/>
        <c:grouping val="clustered"/>
        <c:varyColors val="0"/>
        <c:ser>
          <c:idx val="0"/>
          <c:order val="0"/>
          <c:spPr>
            <a:solidFill>
              <a:srgbClr val="002F6C"/>
            </a:solidFill>
            <a:ln>
              <a:solidFill>
                <a:schemeClr val="tx1"/>
              </a:solidFill>
            </a:ln>
            <a:effectLst/>
          </c:spPr>
          <c:invertIfNegative val="0"/>
          <c:dPt>
            <c:idx val="9"/>
            <c:invertIfNegative val="0"/>
            <c:bubble3D val="0"/>
            <c:spPr>
              <a:solidFill>
                <a:srgbClr val="D72B00"/>
              </a:solidFill>
              <a:ln>
                <a:solidFill>
                  <a:schemeClr val="tx1"/>
                </a:solidFill>
              </a:ln>
              <a:effectLst/>
            </c:spPr>
            <c:extLst>
              <c:ext xmlns:c16="http://schemas.microsoft.com/office/drawing/2014/chart" uri="{C3380CC4-5D6E-409C-BE32-E72D297353CC}">
                <c16:uniqueId val="{00000004-73EE-49D7-B00E-1CA64D4EA3F1}"/>
              </c:ext>
            </c:extLst>
          </c:dPt>
          <c:dPt>
            <c:idx val="10"/>
            <c:invertIfNegative val="0"/>
            <c:bubble3D val="0"/>
            <c:spPr>
              <a:solidFill>
                <a:srgbClr val="002F6C"/>
              </a:solidFill>
              <a:ln>
                <a:solidFill>
                  <a:schemeClr val="tx1"/>
                </a:solidFill>
              </a:ln>
              <a:effectLst/>
            </c:spPr>
            <c:extLst>
              <c:ext xmlns:c16="http://schemas.microsoft.com/office/drawing/2014/chart" uri="{C3380CC4-5D6E-409C-BE32-E72D297353CC}">
                <c16:uniqueId val="{00000002-6D50-4D38-BC48-EC8C91C5DC9E}"/>
              </c:ext>
            </c:extLst>
          </c:dPt>
          <c:dPt>
            <c:idx val="12"/>
            <c:invertIfNegative val="0"/>
            <c:bubble3D val="0"/>
            <c:spPr>
              <a:solidFill>
                <a:srgbClr val="002F6C"/>
              </a:solidFill>
              <a:ln>
                <a:solidFill>
                  <a:schemeClr val="tx1"/>
                </a:solidFill>
              </a:ln>
              <a:effectLst/>
            </c:spPr>
            <c:extLst>
              <c:ext xmlns:c16="http://schemas.microsoft.com/office/drawing/2014/chart" uri="{C3380CC4-5D6E-409C-BE32-E72D297353CC}">
                <c16:uniqueId val="{00000001-6D50-4D38-BC48-EC8C91C5DC9E}"/>
              </c:ext>
            </c:extLst>
          </c:dPt>
          <c:cat>
            <c:strRef>
              <c:f>'HC1.4.1'!$L$3:$L$30</c:f>
              <c:strCache>
                <c:ptCount val="28"/>
                <c:pt idx="0">
                  <c:v>Mexico</c:v>
                </c:pt>
                <c:pt idx="1">
                  <c:v>Chile</c:v>
                </c:pt>
                <c:pt idx="2">
                  <c:v>Greece</c:v>
                </c:pt>
                <c:pt idx="3">
                  <c:v>Spain</c:v>
                </c:pt>
                <c:pt idx="4">
                  <c:v>Türkiye</c:v>
                </c:pt>
                <c:pt idx="5">
                  <c:v>Portugal</c:v>
                </c:pt>
                <c:pt idx="6">
                  <c:v>Latvia</c:v>
                </c:pt>
                <c:pt idx="7">
                  <c:v>United States</c:v>
                </c:pt>
                <c:pt idx="8">
                  <c:v>Estonia</c:v>
                </c:pt>
                <c:pt idx="9">
                  <c:v>OECD - 27</c:v>
                </c:pt>
                <c:pt idx="10">
                  <c:v>Lithuania</c:v>
                </c:pt>
                <c:pt idx="11">
                  <c:v>Germany</c:v>
                </c:pt>
                <c:pt idx="12">
                  <c:v>Canada</c:v>
                </c:pt>
                <c:pt idx="13">
                  <c:v>Israel</c:v>
                </c:pt>
                <c:pt idx="14">
                  <c:v>Switzerland</c:v>
                </c:pt>
                <c:pt idx="15">
                  <c:v>Italy</c:v>
                </c:pt>
                <c:pt idx="16">
                  <c:v>Netherlands</c:v>
                </c:pt>
                <c:pt idx="17">
                  <c:v>Norway</c:v>
                </c:pt>
                <c:pt idx="18">
                  <c:v>Finland</c:v>
                </c:pt>
                <c:pt idx="19">
                  <c:v>Korea</c:v>
                </c:pt>
                <c:pt idx="20">
                  <c:v>United Kingdom </c:v>
                </c:pt>
                <c:pt idx="21">
                  <c:v>Slovenia</c:v>
                </c:pt>
                <c:pt idx="22">
                  <c:v>Ireland</c:v>
                </c:pt>
                <c:pt idx="23">
                  <c:v>France</c:v>
                </c:pt>
                <c:pt idx="24">
                  <c:v>Poland</c:v>
                </c:pt>
                <c:pt idx="25">
                  <c:v>Austria</c:v>
                </c:pt>
                <c:pt idx="26">
                  <c:v>Belgium</c:v>
                </c:pt>
                <c:pt idx="27">
                  <c:v>Denmark</c:v>
                </c:pt>
              </c:strCache>
            </c:strRef>
          </c:cat>
          <c:val>
            <c:numRef>
              <c:f>'HC1.4.1'!$M$3:$M$30</c:f>
              <c:numCache>
                <c:formatCode>0%</c:formatCode>
                <c:ptCount val="28"/>
                <c:pt idx="0">
                  <c:v>0.73901885747909546</c:v>
                </c:pt>
                <c:pt idx="1">
                  <c:v>0.73676937818527222</c:v>
                </c:pt>
                <c:pt idx="2">
                  <c:v>0.67195045948028564</c:v>
                </c:pt>
                <c:pt idx="3">
                  <c:v>0.64699745178222656</c:v>
                </c:pt>
                <c:pt idx="4">
                  <c:v>0.61959993839263916</c:v>
                </c:pt>
                <c:pt idx="5">
                  <c:v>0.56934976577758789</c:v>
                </c:pt>
                <c:pt idx="6">
                  <c:v>0.56906545162200928</c:v>
                </c:pt>
                <c:pt idx="7">
                  <c:v>0.48881924152374268</c:v>
                </c:pt>
                <c:pt idx="8">
                  <c:v>0.47782447934150696</c:v>
                </c:pt>
                <c:pt idx="9">
                  <c:v>0.4776134667573152</c:v>
                </c:pt>
                <c:pt idx="10">
                  <c:v>0.47470614314079285</c:v>
                </c:pt>
                <c:pt idx="11">
                  <c:v>0.46980571746826172</c:v>
                </c:pt>
                <c:pt idx="12">
                  <c:v>0.4621080756187439</c:v>
                </c:pt>
                <c:pt idx="13">
                  <c:v>0.45898383855819702</c:v>
                </c:pt>
                <c:pt idx="14">
                  <c:v>0.45166483521461487</c:v>
                </c:pt>
                <c:pt idx="15">
                  <c:v>0.44723397493362427</c:v>
                </c:pt>
                <c:pt idx="16">
                  <c:v>0.4439195990562439</c:v>
                </c:pt>
                <c:pt idx="17">
                  <c:v>0.44080153107643127</c:v>
                </c:pt>
                <c:pt idx="18">
                  <c:v>0.43060716986656189</c:v>
                </c:pt>
                <c:pt idx="19">
                  <c:v>0.4258439838886261</c:v>
                </c:pt>
                <c:pt idx="20">
                  <c:v>0.40811815857887268</c:v>
                </c:pt>
                <c:pt idx="21">
                  <c:v>0.40486249327659607</c:v>
                </c:pt>
                <c:pt idx="22">
                  <c:v>0.39699912071228027</c:v>
                </c:pt>
                <c:pt idx="23">
                  <c:v>0.38186761736869812</c:v>
                </c:pt>
                <c:pt idx="24">
                  <c:v>0.37944602966308594</c:v>
                </c:pt>
                <c:pt idx="25">
                  <c:v>0.34697240591049194</c:v>
                </c:pt>
                <c:pt idx="26">
                  <c:v>0.27991014719009399</c:v>
                </c:pt>
                <c:pt idx="27">
                  <c:v>0.27231773734092712</c:v>
                </c:pt>
              </c:numCache>
            </c:numRef>
          </c:val>
          <c:extLst>
            <c:ext xmlns:c16="http://schemas.microsoft.com/office/drawing/2014/chart" uri="{C3380CC4-5D6E-409C-BE32-E72D297353CC}">
              <c16:uniqueId val="{00000000-6D50-4D38-BC48-EC8C91C5DC9E}"/>
            </c:ext>
          </c:extLst>
        </c:ser>
        <c:dLbls>
          <c:showLegendKey val="0"/>
          <c:showVal val="0"/>
          <c:showCatName val="0"/>
          <c:showSerName val="0"/>
          <c:showPercent val="0"/>
          <c:showBubbleSize val="0"/>
        </c:dLbls>
        <c:gapWidth val="150"/>
        <c:overlap val="-27"/>
        <c:axId val="808191872"/>
        <c:axId val="1947782480"/>
      </c:barChart>
      <c:catAx>
        <c:axId val="808191872"/>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947782480"/>
        <c:crosses val="autoZero"/>
        <c:auto val="1"/>
        <c:lblAlgn val="ctr"/>
        <c:lblOffset val="0"/>
        <c:tickLblSkip val="1"/>
        <c:noMultiLvlLbl val="0"/>
      </c:catAx>
      <c:valAx>
        <c:axId val="1947782480"/>
        <c:scaling>
          <c:orientation val="minMax"/>
        </c:scaling>
        <c:delete val="0"/>
        <c:axPos val="l"/>
        <c:majorGridlines>
          <c:spPr>
            <a:ln w="9525" cap="flat" cmpd="sng" algn="ctr">
              <a:solidFill>
                <a:srgbClr val="FFFFFF"/>
              </a:solidFill>
              <a:prstDash val="solid"/>
              <a:round/>
            </a:ln>
            <a:effectLst/>
          </c:spPr>
        </c:majorGridlines>
        <c:numFmt formatCode="0%"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808191872"/>
        <c:crosses val="autoZero"/>
        <c:crossBetween val="between"/>
      </c:valAx>
      <c:spPr>
        <a:solidFill>
          <a:srgbClr val="EAEAEA"/>
        </a:solidFill>
        <a:ln>
          <a:noFill/>
        </a:ln>
        <a:effectLst/>
        <a:extLst>
          <a:ext uri="{91240B29-F687-4F45-9708-019B960494DF}">
            <a14:hiddenLine xmlns:a14="http://schemas.microsoft.com/office/drawing/2010/main">
              <a:noFill/>
            </a14:hiddenLine>
          </a:ext>
        </a:extLst>
      </c:spPr>
    </c:plotArea>
    <c:plotVisOnly val="1"/>
    <c:dispBlanksAs val="gap"/>
    <c:showDLblsOverMax val="1"/>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25504391694075E-3"/>
          <c:y val="0.13236324352436013"/>
          <c:w val="0.98691174341245891"/>
          <c:h val="0.85275175192614172"/>
        </c:manualLayout>
      </c:layout>
      <c:barChart>
        <c:barDir val="col"/>
        <c:grouping val="clustered"/>
        <c:varyColors val="0"/>
        <c:ser>
          <c:idx val="0"/>
          <c:order val="0"/>
          <c:tx>
            <c:strRef>
              <c:f>'HC1.4.2'!$N$3</c:f>
              <c:strCache>
                <c:ptCount val="1"/>
                <c:pt idx="0">
                  <c:v>Women (↓)</c:v>
                </c:pt>
              </c:strCache>
            </c:strRef>
          </c:tx>
          <c:spPr>
            <a:solidFill>
              <a:srgbClr val="002F6C"/>
            </a:solidFill>
            <a:ln>
              <a:solidFill>
                <a:sysClr val="windowText" lastClr="000000"/>
              </a:solidFill>
            </a:ln>
            <a:effectLst/>
          </c:spPr>
          <c:invertIfNegative val="0"/>
          <c:dPt>
            <c:idx val="8"/>
            <c:invertIfNegative val="0"/>
            <c:bubble3D val="0"/>
            <c:spPr>
              <a:solidFill>
                <a:srgbClr val="D72B00"/>
              </a:solidFill>
              <a:ln>
                <a:solidFill>
                  <a:sysClr val="windowText" lastClr="000000"/>
                </a:solidFill>
              </a:ln>
              <a:effectLst/>
            </c:spPr>
            <c:extLst>
              <c:ext xmlns:c16="http://schemas.microsoft.com/office/drawing/2014/chart" uri="{C3380CC4-5D6E-409C-BE32-E72D297353CC}">
                <c16:uniqueId val="{00000006-64B4-48AE-82FF-C5F0B0E76B04}"/>
              </c:ext>
            </c:extLst>
          </c:dPt>
          <c:dPt>
            <c:idx val="10"/>
            <c:invertIfNegative val="0"/>
            <c:bubble3D val="0"/>
            <c:spPr>
              <a:solidFill>
                <a:srgbClr val="002F6C"/>
              </a:solidFill>
              <a:ln>
                <a:solidFill>
                  <a:sysClr val="windowText" lastClr="000000"/>
                </a:solidFill>
              </a:ln>
              <a:effectLst/>
            </c:spPr>
            <c:extLst>
              <c:ext xmlns:c16="http://schemas.microsoft.com/office/drawing/2014/chart" uri="{C3380CC4-5D6E-409C-BE32-E72D297353CC}">
                <c16:uniqueId val="{00000001-979A-4297-A3D7-15D2A520EA00}"/>
              </c:ext>
            </c:extLst>
          </c:dPt>
          <c:dPt>
            <c:idx val="12"/>
            <c:invertIfNegative val="0"/>
            <c:bubble3D val="0"/>
            <c:spPr>
              <a:solidFill>
                <a:srgbClr val="002F6C"/>
              </a:solidFill>
              <a:ln>
                <a:solidFill>
                  <a:sysClr val="windowText" lastClr="000000"/>
                </a:solidFill>
              </a:ln>
              <a:effectLst/>
            </c:spPr>
            <c:extLst>
              <c:ext xmlns:c16="http://schemas.microsoft.com/office/drawing/2014/chart" uri="{C3380CC4-5D6E-409C-BE32-E72D297353CC}">
                <c16:uniqueId val="{00000003-979A-4297-A3D7-15D2A520EA00}"/>
              </c:ext>
            </c:extLst>
          </c:dPt>
          <c:cat>
            <c:strRef>
              <c:f>'HC1.4.2'!$M$4:$M$31</c:f>
              <c:strCache>
                <c:ptCount val="28"/>
                <c:pt idx="0">
                  <c:v>Mexico</c:v>
                </c:pt>
                <c:pt idx="1">
                  <c:v>Chile</c:v>
                </c:pt>
                <c:pt idx="2">
                  <c:v>Greece</c:v>
                </c:pt>
                <c:pt idx="3">
                  <c:v>Spain</c:v>
                </c:pt>
                <c:pt idx="4">
                  <c:v>Türkiye</c:v>
                </c:pt>
                <c:pt idx="5">
                  <c:v>Portugal</c:v>
                </c:pt>
                <c:pt idx="6">
                  <c:v>Latvia</c:v>
                </c:pt>
                <c:pt idx="7">
                  <c:v>Estonia</c:v>
                </c:pt>
                <c:pt idx="8">
                  <c:v>OECD - 27</c:v>
                </c:pt>
                <c:pt idx="9">
                  <c:v>Israel</c:v>
                </c:pt>
                <c:pt idx="10">
                  <c:v>Netherlands</c:v>
                </c:pt>
                <c:pt idx="11">
                  <c:v>Germany</c:v>
                </c:pt>
                <c:pt idx="12">
                  <c:v>Canada</c:v>
                </c:pt>
                <c:pt idx="13">
                  <c:v>Lithuania</c:v>
                </c:pt>
                <c:pt idx="14">
                  <c:v>Italy</c:v>
                </c:pt>
                <c:pt idx="15">
                  <c:v>Switzerland</c:v>
                </c:pt>
                <c:pt idx="16">
                  <c:v>United States</c:v>
                </c:pt>
                <c:pt idx="17">
                  <c:v>Slovenia</c:v>
                </c:pt>
                <c:pt idx="18">
                  <c:v>Finland</c:v>
                </c:pt>
                <c:pt idx="19">
                  <c:v>Norway</c:v>
                </c:pt>
                <c:pt idx="20">
                  <c:v>Korea</c:v>
                </c:pt>
                <c:pt idx="21">
                  <c:v>Poland</c:v>
                </c:pt>
                <c:pt idx="22">
                  <c:v>France</c:v>
                </c:pt>
                <c:pt idx="23">
                  <c:v>Ireland</c:v>
                </c:pt>
                <c:pt idx="24">
                  <c:v>United Kingdom </c:v>
                </c:pt>
                <c:pt idx="25">
                  <c:v>Austria</c:v>
                </c:pt>
                <c:pt idx="26">
                  <c:v>Belgium</c:v>
                </c:pt>
                <c:pt idx="27">
                  <c:v>Denmark</c:v>
                </c:pt>
              </c:strCache>
            </c:strRef>
          </c:cat>
          <c:val>
            <c:numRef>
              <c:f>'HC1.4.2'!$N$4:$N$31</c:f>
              <c:numCache>
                <c:formatCode>0%</c:formatCode>
                <c:ptCount val="28"/>
                <c:pt idx="0">
                  <c:v>0.77639222145080566</c:v>
                </c:pt>
                <c:pt idx="1">
                  <c:v>0.72691047191619873</c:v>
                </c:pt>
                <c:pt idx="2">
                  <c:v>0.69327366352081299</c:v>
                </c:pt>
                <c:pt idx="3">
                  <c:v>0.68627941608428955</c:v>
                </c:pt>
                <c:pt idx="4">
                  <c:v>0.67114996910095215</c:v>
                </c:pt>
                <c:pt idx="5">
                  <c:v>0.61129748821258545</c:v>
                </c:pt>
                <c:pt idx="6">
                  <c:v>0.60210978984832764</c:v>
                </c:pt>
                <c:pt idx="7">
                  <c:v>0.51422983407974243</c:v>
                </c:pt>
                <c:pt idx="8">
                  <c:v>0.50296934887214939</c:v>
                </c:pt>
                <c:pt idx="9">
                  <c:v>0.49904352426528931</c:v>
                </c:pt>
                <c:pt idx="10">
                  <c:v>0.49253690242767334</c:v>
                </c:pt>
                <c:pt idx="11">
                  <c:v>0.49052417278289795</c:v>
                </c:pt>
                <c:pt idx="12">
                  <c:v>0.4850257933139801</c:v>
                </c:pt>
                <c:pt idx="13">
                  <c:v>0.48098769783973694</c:v>
                </c:pt>
                <c:pt idx="14">
                  <c:v>0.47811552882194519</c:v>
                </c:pt>
                <c:pt idx="15">
                  <c:v>0.45566260814666748</c:v>
                </c:pt>
                <c:pt idx="16">
                  <c:v>0.44679614901542664</c:v>
                </c:pt>
                <c:pt idx="17">
                  <c:v>0.44351780414581299</c:v>
                </c:pt>
                <c:pt idx="18">
                  <c:v>0.44185644388198853</c:v>
                </c:pt>
                <c:pt idx="19">
                  <c:v>0.44124048948287964</c:v>
                </c:pt>
                <c:pt idx="20">
                  <c:v>0.43874037265777588</c:v>
                </c:pt>
                <c:pt idx="21">
                  <c:v>0.4376567006111145</c:v>
                </c:pt>
                <c:pt idx="22">
                  <c:v>0.413767009973526</c:v>
                </c:pt>
                <c:pt idx="23">
                  <c:v>0.41235902905464172</c:v>
                </c:pt>
                <c:pt idx="24">
                  <c:v>0.40918490290641785</c:v>
                </c:pt>
                <c:pt idx="25">
                  <c:v>0.39095029234886169</c:v>
                </c:pt>
                <c:pt idx="26">
                  <c:v>0.32323935627937317</c:v>
                </c:pt>
                <c:pt idx="27">
                  <c:v>0.31732478737831116</c:v>
                </c:pt>
              </c:numCache>
            </c:numRef>
          </c:val>
          <c:extLst>
            <c:ext xmlns:c16="http://schemas.microsoft.com/office/drawing/2014/chart" uri="{C3380CC4-5D6E-409C-BE32-E72D297353CC}">
              <c16:uniqueId val="{00000004-979A-4297-A3D7-15D2A520EA00}"/>
            </c:ext>
          </c:extLst>
        </c:ser>
        <c:dLbls>
          <c:showLegendKey val="0"/>
          <c:showVal val="0"/>
          <c:showCatName val="0"/>
          <c:showSerName val="0"/>
          <c:showPercent val="0"/>
          <c:showBubbleSize val="0"/>
        </c:dLbls>
        <c:gapWidth val="150"/>
        <c:overlap val="-27"/>
        <c:axId val="808191872"/>
        <c:axId val="1947782480"/>
      </c:barChart>
      <c:lineChart>
        <c:grouping val="standard"/>
        <c:varyColors val="0"/>
        <c:ser>
          <c:idx val="1"/>
          <c:order val="1"/>
          <c:tx>
            <c:strRef>
              <c:f>'HC1.4.2'!$O$3</c:f>
              <c:strCache>
                <c:ptCount val="1"/>
                <c:pt idx="0">
                  <c:v>Men</c:v>
                </c:pt>
              </c:strCache>
            </c:strRef>
          </c:tx>
          <c:spPr>
            <a:ln w="28575" cap="rnd">
              <a:noFill/>
              <a:round/>
            </a:ln>
            <a:effectLst/>
          </c:spPr>
          <c:marker>
            <c:symbol val="triangle"/>
            <c:size val="6"/>
            <c:spPr>
              <a:solidFill>
                <a:schemeClr val="bg1"/>
              </a:solidFill>
              <a:ln w="9525">
                <a:solidFill>
                  <a:schemeClr val="tx1"/>
                </a:solidFill>
              </a:ln>
              <a:effectLst/>
            </c:spPr>
          </c:marker>
          <c:dPt>
            <c:idx val="10"/>
            <c:marker>
              <c:symbol val="triangle"/>
              <c:size val="6"/>
              <c:spPr>
                <a:solidFill>
                  <a:schemeClr val="bg1"/>
                </a:solidFill>
                <a:ln w="9525">
                  <a:solidFill>
                    <a:schemeClr val="tx1"/>
                  </a:solidFill>
                </a:ln>
                <a:effectLst/>
              </c:spPr>
            </c:marker>
            <c:bubble3D val="0"/>
            <c:spPr>
              <a:ln w="28575" cap="rnd">
                <a:noFill/>
                <a:round/>
              </a:ln>
              <a:effectLst/>
            </c:spPr>
            <c:extLst>
              <c:ext xmlns:c16="http://schemas.microsoft.com/office/drawing/2014/chart" uri="{C3380CC4-5D6E-409C-BE32-E72D297353CC}">
                <c16:uniqueId val="{00000006-979A-4297-A3D7-15D2A520EA00}"/>
              </c:ext>
            </c:extLst>
          </c:dPt>
          <c:cat>
            <c:strRef>
              <c:f>'HC1.4.2'!$M$4:$M$31</c:f>
              <c:strCache>
                <c:ptCount val="28"/>
                <c:pt idx="0">
                  <c:v>Mexico</c:v>
                </c:pt>
                <c:pt idx="1">
                  <c:v>Chile</c:v>
                </c:pt>
                <c:pt idx="2">
                  <c:v>Greece</c:v>
                </c:pt>
                <c:pt idx="3">
                  <c:v>Spain</c:v>
                </c:pt>
                <c:pt idx="4">
                  <c:v>Türkiye</c:v>
                </c:pt>
                <c:pt idx="5">
                  <c:v>Portugal</c:v>
                </c:pt>
                <c:pt idx="6">
                  <c:v>Latvia</c:v>
                </c:pt>
                <c:pt idx="7">
                  <c:v>Estonia</c:v>
                </c:pt>
                <c:pt idx="8">
                  <c:v>OECD - 27</c:v>
                </c:pt>
                <c:pt idx="9">
                  <c:v>Israel</c:v>
                </c:pt>
                <c:pt idx="10">
                  <c:v>Netherlands</c:v>
                </c:pt>
                <c:pt idx="11">
                  <c:v>Germany</c:v>
                </c:pt>
                <c:pt idx="12">
                  <c:v>Canada</c:v>
                </c:pt>
                <c:pt idx="13">
                  <c:v>Lithuania</c:v>
                </c:pt>
                <c:pt idx="14">
                  <c:v>Italy</c:v>
                </c:pt>
                <c:pt idx="15">
                  <c:v>Switzerland</c:v>
                </c:pt>
                <c:pt idx="16">
                  <c:v>United States</c:v>
                </c:pt>
                <c:pt idx="17">
                  <c:v>Slovenia</c:v>
                </c:pt>
                <c:pt idx="18">
                  <c:v>Finland</c:v>
                </c:pt>
                <c:pt idx="19">
                  <c:v>Norway</c:v>
                </c:pt>
                <c:pt idx="20">
                  <c:v>Korea</c:v>
                </c:pt>
                <c:pt idx="21">
                  <c:v>Poland</c:v>
                </c:pt>
                <c:pt idx="22">
                  <c:v>France</c:v>
                </c:pt>
                <c:pt idx="23">
                  <c:v>Ireland</c:v>
                </c:pt>
                <c:pt idx="24">
                  <c:v>United Kingdom </c:v>
                </c:pt>
                <c:pt idx="25">
                  <c:v>Austria</c:v>
                </c:pt>
                <c:pt idx="26">
                  <c:v>Belgium</c:v>
                </c:pt>
                <c:pt idx="27">
                  <c:v>Denmark</c:v>
                </c:pt>
              </c:strCache>
            </c:strRef>
          </c:cat>
          <c:val>
            <c:numRef>
              <c:f>'HC1.4.2'!$O$4:$O$31</c:f>
              <c:numCache>
                <c:formatCode>0%</c:formatCode>
                <c:ptCount val="28"/>
                <c:pt idx="0">
                  <c:v>0.69742566347122192</c:v>
                </c:pt>
                <c:pt idx="1">
                  <c:v>0.74927514791488647</c:v>
                </c:pt>
                <c:pt idx="2">
                  <c:v>0.65035176277160645</c:v>
                </c:pt>
                <c:pt idx="3">
                  <c:v>0.6074519157409668</c:v>
                </c:pt>
                <c:pt idx="4">
                  <c:v>0.57046604156494141</c:v>
                </c:pt>
                <c:pt idx="5">
                  <c:v>0.52223795652389526</c:v>
                </c:pt>
                <c:pt idx="6">
                  <c:v>0.53485876321792603</c:v>
                </c:pt>
                <c:pt idx="7">
                  <c:v>0.44143044948577881</c:v>
                </c:pt>
                <c:pt idx="8">
                  <c:v>0.45156367950969273</c:v>
                </c:pt>
                <c:pt idx="9">
                  <c:v>0.41790544986724854</c:v>
                </c:pt>
                <c:pt idx="10">
                  <c:v>0.39552208781242371</c:v>
                </c:pt>
                <c:pt idx="11">
                  <c:v>0.44727933406829834</c:v>
                </c:pt>
                <c:pt idx="12">
                  <c:v>0.43839633464813232</c:v>
                </c:pt>
                <c:pt idx="13">
                  <c:v>0.46728429198265076</c:v>
                </c:pt>
                <c:pt idx="14">
                  <c:v>0.41658508777618408</c:v>
                </c:pt>
                <c:pt idx="15">
                  <c:v>0.44800391793251038</c:v>
                </c:pt>
                <c:pt idx="16">
                  <c:v>0.53065729141235352</c:v>
                </c:pt>
                <c:pt idx="17">
                  <c:v>0.36828598380088806</c:v>
                </c:pt>
                <c:pt idx="18">
                  <c:v>0.42040422558784485</c:v>
                </c:pt>
                <c:pt idx="19">
                  <c:v>0.43926417827606201</c:v>
                </c:pt>
                <c:pt idx="20">
                  <c:v>0.41361579298973083</c:v>
                </c:pt>
                <c:pt idx="21">
                  <c:v>0.31794339418411255</c:v>
                </c:pt>
                <c:pt idx="22">
                  <c:v>0.34830638766288757</c:v>
                </c:pt>
                <c:pt idx="23">
                  <c:v>0.38100820779800415</c:v>
                </c:pt>
                <c:pt idx="24">
                  <c:v>0.40467426180839539</c:v>
                </c:pt>
                <c:pt idx="25">
                  <c:v>0.29803109169006348</c:v>
                </c:pt>
                <c:pt idx="26">
                  <c:v>0.23759269714355469</c:v>
                </c:pt>
                <c:pt idx="27">
                  <c:v>0.22796162962913513</c:v>
                </c:pt>
              </c:numCache>
            </c:numRef>
          </c:val>
          <c:smooth val="0"/>
          <c:extLst>
            <c:ext xmlns:c16="http://schemas.microsoft.com/office/drawing/2014/chart" uri="{C3380CC4-5D6E-409C-BE32-E72D297353CC}">
              <c16:uniqueId val="{00000005-979A-4297-A3D7-15D2A520EA00}"/>
            </c:ext>
          </c:extLst>
        </c:ser>
        <c:dLbls>
          <c:showLegendKey val="0"/>
          <c:showVal val="0"/>
          <c:showCatName val="0"/>
          <c:showSerName val="0"/>
          <c:showPercent val="0"/>
          <c:showBubbleSize val="0"/>
        </c:dLbls>
        <c:marker val="1"/>
        <c:smooth val="0"/>
        <c:axId val="808191872"/>
        <c:axId val="1947782480"/>
      </c:lineChart>
      <c:catAx>
        <c:axId val="808191872"/>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947782480"/>
        <c:crosses val="autoZero"/>
        <c:auto val="1"/>
        <c:lblAlgn val="ctr"/>
        <c:lblOffset val="0"/>
        <c:tickLblSkip val="1"/>
        <c:noMultiLvlLbl val="0"/>
      </c:catAx>
      <c:valAx>
        <c:axId val="1947782480"/>
        <c:scaling>
          <c:orientation val="minMax"/>
        </c:scaling>
        <c:delete val="0"/>
        <c:axPos val="l"/>
        <c:majorGridlines>
          <c:spPr>
            <a:ln w="9525" cap="flat" cmpd="sng" algn="ctr">
              <a:solidFill>
                <a:srgbClr val="FFFFFF"/>
              </a:solidFill>
              <a:prstDash val="solid"/>
              <a:round/>
            </a:ln>
            <a:effectLst/>
          </c:spPr>
        </c:majorGridlines>
        <c:numFmt formatCode="0%"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808191872"/>
        <c:crosses val="autoZero"/>
        <c:crossBetween val="between"/>
      </c:valAx>
      <c:spPr>
        <a:solidFill>
          <a:srgbClr val="EAEAEA"/>
        </a:solidFill>
        <a:ln>
          <a:noFill/>
        </a:ln>
        <a:effectLst/>
        <a:extLst>
          <a:ext uri="{91240B29-F687-4F45-9708-019B960494DF}">
            <a14:hiddenLine xmlns:a14="http://schemas.microsoft.com/office/drawing/2010/main">
              <a:noFill/>
            </a14:hiddenLine>
          </a:ext>
        </a:extLst>
      </c:spPr>
    </c:plotArea>
    <c:legend>
      <c:legendPos val="t"/>
      <c:layout>
        <c:manualLayout>
          <c:xMode val="edge"/>
          <c:yMode val="edge"/>
          <c:x val="4.4941672236046198E-2"/>
          <c:y val="1.9846672732664147E-2"/>
          <c:w val="0.9421274050744991"/>
          <c:h val="7.4425022747490549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25504391694075E-3"/>
          <c:y val="0.13236324352436013"/>
          <c:w val="0.98691174341245891"/>
          <c:h val="0.85275175192614172"/>
        </c:manualLayout>
      </c:layout>
      <c:barChart>
        <c:barDir val="col"/>
        <c:grouping val="clustered"/>
        <c:varyColors val="0"/>
        <c:ser>
          <c:idx val="0"/>
          <c:order val="0"/>
          <c:tx>
            <c:strRef>
              <c:f>'HC1.4.2'!$R$3</c:f>
              <c:strCache>
                <c:ptCount val="1"/>
                <c:pt idx="0">
                  <c:v>Tenant (↓)</c:v>
                </c:pt>
              </c:strCache>
            </c:strRef>
          </c:tx>
          <c:spPr>
            <a:solidFill>
              <a:srgbClr val="002F6C"/>
            </a:solidFill>
            <a:ln>
              <a:solidFill>
                <a:sysClr val="windowText" lastClr="000000"/>
              </a:solidFill>
            </a:ln>
            <a:effectLst/>
          </c:spPr>
          <c:invertIfNegative val="0"/>
          <c:dPt>
            <c:idx val="10"/>
            <c:invertIfNegative val="0"/>
            <c:bubble3D val="0"/>
            <c:spPr>
              <a:solidFill>
                <a:srgbClr val="002F6C"/>
              </a:solidFill>
              <a:ln>
                <a:solidFill>
                  <a:sysClr val="windowText" lastClr="000000"/>
                </a:solidFill>
              </a:ln>
              <a:effectLst/>
            </c:spPr>
            <c:extLst>
              <c:ext xmlns:c16="http://schemas.microsoft.com/office/drawing/2014/chart" uri="{C3380CC4-5D6E-409C-BE32-E72D297353CC}">
                <c16:uniqueId val="{00000001-E1C9-44E0-A9AF-80FD890F4DA7}"/>
              </c:ext>
            </c:extLst>
          </c:dPt>
          <c:dPt>
            <c:idx val="12"/>
            <c:invertIfNegative val="0"/>
            <c:bubble3D val="0"/>
            <c:spPr>
              <a:solidFill>
                <a:srgbClr val="002F6C"/>
              </a:solidFill>
              <a:ln>
                <a:solidFill>
                  <a:sysClr val="windowText" lastClr="000000"/>
                </a:solidFill>
              </a:ln>
              <a:effectLst/>
            </c:spPr>
            <c:extLst>
              <c:ext xmlns:c16="http://schemas.microsoft.com/office/drawing/2014/chart" uri="{C3380CC4-5D6E-409C-BE32-E72D297353CC}">
                <c16:uniqueId val="{00000003-E1C9-44E0-A9AF-80FD890F4DA7}"/>
              </c:ext>
            </c:extLst>
          </c:dPt>
          <c:dPt>
            <c:idx val="13"/>
            <c:invertIfNegative val="0"/>
            <c:bubble3D val="0"/>
            <c:spPr>
              <a:solidFill>
                <a:srgbClr val="002F6C"/>
              </a:solidFill>
              <a:ln>
                <a:solidFill>
                  <a:sysClr val="windowText" lastClr="000000"/>
                </a:solidFill>
              </a:ln>
              <a:effectLst/>
            </c:spPr>
            <c:extLst>
              <c:ext xmlns:c16="http://schemas.microsoft.com/office/drawing/2014/chart" uri="{C3380CC4-5D6E-409C-BE32-E72D297353CC}">
                <c16:uniqueId val="{00000008-E1C9-44E0-A9AF-80FD890F4DA7}"/>
              </c:ext>
            </c:extLst>
          </c:dPt>
          <c:dPt>
            <c:idx val="14"/>
            <c:invertIfNegative val="0"/>
            <c:bubble3D val="0"/>
            <c:spPr>
              <a:solidFill>
                <a:srgbClr val="D72B00"/>
              </a:solidFill>
              <a:ln>
                <a:solidFill>
                  <a:sysClr val="windowText" lastClr="000000"/>
                </a:solidFill>
              </a:ln>
              <a:effectLst/>
            </c:spPr>
            <c:extLst>
              <c:ext xmlns:c16="http://schemas.microsoft.com/office/drawing/2014/chart" uri="{C3380CC4-5D6E-409C-BE32-E72D297353CC}">
                <c16:uniqueId val="{0000000A-AC04-4EE6-A64C-B3AFFE22DE8D}"/>
              </c:ext>
            </c:extLst>
          </c:dPt>
          <c:cat>
            <c:strRef>
              <c:f>'HC1.4.2'!$Q$4:$Q$31</c:f>
              <c:strCache>
                <c:ptCount val="28"/>
                <c:pt idx="0">
                  <c:v>Mexico</c:v>
                </c:pt>
                <c:pt idx="1">
                  <c:v>Chile</c:v>
                </c:pt>
                <c:pt idx="2">
                  <c:v>Greece</c:v>
                </c:pt>
                <c:pt idx="3">
                  <c:v>Spain</c:v>
                </c:pt>
                <c:pt idx="4">
                  <c:v>Türkiye</c:v>
                </c:pt>
                <c:pt idx="5">
                  <c:v>Portugal</c:v>
                </c:pt>
                <c:pt idx="6">
                  <c:v>Estonia</c:v>
                </c:pt>
                <c:pt idx="7">
                  <c:v>Ireland</c:v>
                </c:pt>
                <c:pt idx="8">
                  <c:v>Latvia</c:v>
                </c:pt>
                <c:pt idx="9">
                  <c:v>Slovenia</c:v>
                </c:pt>
                <c:pt idx="10">
                  <c:v>Lithuania</c:v>
                </c:pt>
                <c:pt idx="11">
                  <c:v>United States</c:v>
                </c:pt>
                <c:pt idx="12">
                  <c:v>Italy</c:v>
                </c:pt>
                <c:pt idx="13">
                  <c:v>Canada</c:v>
                </c:pt>
                <c:pt idx="14">
                  <c:v>OECD - 27</c:v>
                </c:pt>
                <c:pt idx="15">
                  <c:v>Korea</c:v>
                </c:pt>
                <c:pt idx="16">
                  <c:v>Israel</c:v>
                </c:pt>
                <c:pt idx="17">
                  <c:v>Norway</c:v>
                </c:pt>
                <c:pt idx="18">
                  <c:v>United Kingdom </c:v>
                </c:pt>
                <c:pt idx="19">
                  <c:v>Netherlands</c:v>
                </c:pt>
                <c:pt idx="20">
                  <c:v>Germany</c:v>
                </c:pt>
                <c:pt idx="21">
                  <c:v>Switzerland</c:v>
                </c:pt>
                <c:pt idx="22">
                  <c:v>Poland</c:v>
                </c:pt>
                <c:pt idx="23">
                  <c:v>France</c:v>
                </c:pt>
                <c:pt idx="24">
                  <c:v>Finland</c:v>
                </c:pt>
                <c:pt idx="25">
                  <c:v>Austria</c:v>
                </c:pt>
                <c:pt idx="26">
                  <c:v>Belgium</c:v>
                </c:pt>
                <c:pt idx="27">
                  <c:v>Denmark</c:v>
                </c:pt>
              </c:strCache>
            </c:strRef>
          </c:cat>
          <c:val>
            <c:numRef>
              <c:f>'HC1.4.2'!$R$4:$R$31</c:f>
              <c:numCache>
                <c:formatCode>0%</c:formatCode>
                <c:ptCount val="28"/>
                <c:pt idx="0">
                  <c:v>0.87552458047866821</c:v>
                </c:pt>
                <c:pt idx="1">
                  <c:v>0.85074210166931152</c:v>
                </c:pt>
                <c:pt idx="2">
                  <c:v>0.81032305955886841</c:v>
                </c:pt>
                <c:pt idx="3">
                  <c:v>0.78475415706634521</c:v>
                </c:pt>
                <c:pt idx="4">
                  <c:v>0.76227563619613647</c:v>
                </c:pt>
                <c:pt idx="5">
                  <c:v>0.73472237586975098</c:v>
                </c:pt>
                <c:pt idx="6">
                  <c:v>0.72183781862258911</c:v>
                </c:pt>
                <c:pt idx="7">
                  <c:v>0.711173415184021</c:v>
                </c:pt>
                <c:pt idx="8">
                  <c:v>0.69309210777282715</c:v>
                </c:pt>
                <c:pt idx="9">
                  <c:v>0.68893319368362427</c:v>
                </c:pt>
                <c:pt idx="10">
                  <c:v>0.66911536455154419</c:v>
                </c:pt>
                <c:pt idx="11">
                  <c:v>0.66896748542785645</c:v>
                </c:pt>
                <c:pt idx="12">
                  <c:v>0.6648705005645752</c:v>
                </c:pt>
                <c:pt idx="13">
                  <c:v>0.65517705678939819</c:v>
                </c:pt>
                <c:pt idx="14">
                  <c:v>0.63990842302640283</c:v>
                </c:pt>
                <c:pt idx="15">
                  <c:v>0.6351701021194458</c:v>
                </c:pt>
                <c:pt idx="16">
                  <c:v>0.61787313222885132</c:v>
                </c:pt>
                <c:pt idx="17">
                  <c:v>0.60688215494155884</c:v>
                </c:pt>
                <c:pt idx="18">
                  <c:v>0.57877480983734131</c:v>
                </c:pt>
                <c:pt idx="19">
                  <c:v>0.56791841983795166</c:v>
                </c:pt>
                <c:pt idx="20">
                  <c:v>0.55156141519546509</c:v>
                </c:pt>
                <c:pt idx="21">
                  <c:v>0.54363691806793213</c:v>
                </c:pt>
                <c:pt idx="22">
                  <c:v>0.53262925148010254</c:v>
                </c:pt>
                <c:pt idx="23">
                  <c:v>0.53248769044876099</c:v>
                </c:pt>
                <c:pt idx="24">
                  <c:v>0.53119188547134399</c:v>
                </c:pt>
                <c:pt idx="25">
                  <c:v>0.48962682485580444</c:v>
                </c:pt>
                <c:pt idx="26">
                  <c:v>0.42763984203338623</c:v>
                </c:pt>
                <c:pt idx="27">
                  <c:v>0.37062612175941467</c:v>
                </c:pt>
              </c:numCache>
            </c:numRef>
          </c:val>
          <c:extLst>
            <c:ext xmlns:c16="http://schemas.microsoft.com/office/drawing/2014/chart" uri="{C3380CC4-5D6E-409C-BE32-E72D297353CC}">
              <c16:uniqueId val="{00000004-E1C9-44E0-A9AF-80FD890F4DA7}"/>
            </c:ext>
          </c:extLst>
        </c:ser>
        <c:dLbls>
          <c:showLegendKey val="0"/>
          <c:showVal val="0"/>
          <c:showCatName val="0"/>
          <c:showSerName val="0"/>
          <c:showPercent val="0"/>
          <c:showBubbleSize val="0"/>
        </c:dLbls>
        <c:gapWidth val="150"/>
        <c:overlap val="-27"/>
        <c:axId val="808191872"/>
        <c:axId val="1947782480"/>
      </c:barChart>
      <c:lineChart>
        <c:grouping val="standard"/>
        <c:varyColors val="0"/>
        <c:ser>
          <c:idx val="1"/>
          <c:order val="1"/>
          <c:tx>
            <c:strRef>
              <c:f>'HC1.4.2'!$S$3</c:f>
              <c:strCache>
                <c:ptCount val="1"/>
                <c:pt idx="0">
                  <c:v>Owner</c:v>
                </c:pt>
              </c:strCache>
            </c:strRef>
          </c:tx>
          <c:spPr>
            <a:ln w="28575" cap="rnd">
              <a:noFill/>
              <a:round/>
            </a:ln>
            <a:effectLst/>
          </c:spPr>
          <c:marker>
            <c:symbol val="triangle"/>
            <c:size val="6"/>
            <c:spPr>
              <a:solidFill>
                <a:schemeClr val="bg1"/>
              </a:solidFill>
              <a:ln w="9525">
                <a:solidFill>
                  <a:schemeClr val="tx1"/>
                </a:solidFill>
              </a:ln>
              <a:effectLst/>
            </c:spPr>
          </c:marker>
          <c:dPt>
            <c:idx val="10"/>
            <c:marker>
              <c:symbol val="triangle"/>
              <c:size val="6"/>
              <c:spPr>
                <a:solidFill>
                  <a:schemeClr val="bg1"/>
                </a:solidFill>
                <a:ln w="9525">
                  <a:solidFill>
                    <a:schemeClr val="tx1"/>
                  </a:solidFill>
                </a:ln>
                <a:effectLst/>
              </c:spPr>
            </c:marker>
            <c:bubble3D val="0"/>
            <c:spPr>
              <a:ln w="28575" cap="rnd">
                <a:noFill/>
                <a:round/>
              </a:ln>
              <a:effectLst/>
            </c:spPr>
            <c:extLst>
              <c:ext xmlns:c16="http://schemas.microsoft.com/office/drawing/2014/chart" uri="{C3380CC4-5D6E-409C-BE32-E72D297353CC}">
                <c16:uniqueId val="{00000006-E1C9-44E0-A9AF-80FD890F4DA7}"/>
              </c:ext>
            </c:extLst>
          </c:dPt>
          <c:dPt>
            <c:idx val="13"/>
            <c:marker>
              <c:symbol val="triangle"/>
              <c:size val="6"/>
              <c:spPr>
                <a:solidFill>
                  <a:schemeClr val="bg1"/>
                </a:solidFill>
                <a:ln w="9525">
                  <a:solidFill>
                    <a:schemeClr val="tx1"/>
                  </a:solidFill>
                </a:ln>
                <a:effectLst/>
              </c:spPr>
            </c:marker>
            <c:bubble3D val="0"/>
            <c:spPr>
              <a:ln w="28575" cap="rnd">
                <a:noFill/>
                <a:round/>
              </a:ln>
              <a:effectLst/>
            </c:spPr>
            <c:extLst>
              <c:ext xmlns:c16="http://schemas.microsoft.com/office/drawing/2014/chart" uri="{C3380CC4-5D6E-409C-BE32-E72D297353CC}">
                <c16:uniqueId val="{00000009-E1C9-44E0-A9AF-80FD890F4DA7}"/>
              </c:ext>
            </c:extLst>
          </c:dPt>
          <c:cat>
            <c:strRef>
              <c:f>'HC1.4.2'!$Q$4:$Q$31</c:f>
              <c:strCache>
                <c:ptCount val="28"/>
                <c:pt idx="0">
                  <c:v>Mexico</c:v>
                </c:pt>
                <c:pt idx="1">
                  <c:v>Chile</c:v>
                </c:pt>
                <c:pt idx="2">
                  <c:v>Greece</c:v>
                </c:pt>
                <c:pt idx="3">
                  <c:v>Spain</c:v>
                </c:pt>
                <c:pt idx="4">
                  <c:v>Türkiye</c:v>
                </c:pt>
                <c:pt idx="5">
                  <c:v>Portugal</c:v>
                </c:pt>
                <c:pt idx="6">
                  <c:v>Estonia</c:v>
                </c:pt>
                <c:pt idx="7">
                  <c:v>Ireland</c:v>
                </c:pt>
                <c:pt idx="8">
                  <c:v>Latvia</c:v>
                </c:pt>
                <c:pt idx="9">
                  <c:v>Slovenia</c:v>
                </c:pt>
                <c:pt idx="10">
                  <c:v>Lithuania</c:v>
                </c:pt>
                <c:pt idx="11">
                  <c:v>United States</c:v>
                </c:pt>
                <c:pt idx="12">
                  <c:v>Italy</c:v>
                </c:pt>
                <c:pt idx="13">
                  <c:v>Canada</c:v>
                </c:pt>
                <c:pt idx="14">
                  <c:v>OECD - 27</c:v>
                </c:pt>
                <c:pt idx="15">
                  <c:v>Korea</c:v>
                </c:pt>
                <c:pt idx="16">
                  <c:v>Israel</c:v>
                </c:pt>
                <c:pt idx="17">
                  <c:v>Norway</c:v>
                </c:pt>
                <c:pt idx="18">
                  <c:v>United Kingdom </c:v>
                </c:pt>
                <c:pt idx="19">
                  <c:v>Netherlands</c:v>
                </c:pt>
                <c:pt idx="20">
                  <c:v>Germany</c:v>
                </c:pt>
                <c:pt idx="21">
                  <c:v>Switzerland</c:v>
                </c:pt>
                <c:pt idx="22">
                  <c:v>Poland</c:v>
                </c:pt>
                <c:pt idx="23">
                  <c:v>France</c:v>
                </c:pt>
                <c:pt idx="24">
                  <c:v>Finland</c:v>
                </c:pt>
                <c:pt idx="25">
                  <c:v>Austria</c:v>
                </c:pt>
                <c:pt idx="26">
                  <c:v>Belgium</c:v>
                </c:pt>
                <c:pt idx="27">
                  <c:v>Denmark</c:v>
                </c:pt>
              </c:strCache>
            </c:strRef>
          </c:cat>
          <c:val>
            <c:numRef>
              <c:f>'HC1.4.2'!$S$4:$S$31</c:f>
              <c:numCache>
                <c:formatCode>0%</c:formatCode>
                <c:ptCount val="28"/>
                <c:pt idx="0">
                  <c:v>0.64931803941726685</c:v>
                </c:pt>
                <c:pt idx="1">
                  <c:v>0.66352760791778564</c:v>
                </c:pt>
                <c:pt idx="2">
                  <c:v>0.59763455390930176</c:v>
                </c:pt>
                <c:pt idx="3">
                  <c:v>0.60119754076004028</c:v>
                </c:pt>
                <c:pt idx="4">
                  <c:v>0.54102468490600586</c:v>
                </c:pt>
                <c:pt idx="5">
                  <c:v>0.47580626606941223</c:v>
                </c:pt>
                <c:pt idx="6">
                  <c:v>0.41675284504890442</c:v>
                </c:pt>
                <c:pt idx="7">
                  <c:v>0.25068244338035583</c:v>
                </c:pt>
                <c:pt idx="8">
                  <c:v>0.49205365777015686</c:v>
                </c:pt>
                <c:pt idx="9">
                  <c:v>0.31403833627700806</c:v>
                </c:pt>
                <c:pt idx="10">
                  <c:v>0.41809889674186707</c:v>
                </c:pt>
                <c:pt idx="11">
                  <c:v>0.41109636425971985</c:v>
                </c:pt>
                <c:pt idx="12">
                  <c:v>0.36048471927642822</c:v>
                </c:pt>
                <c:pt idx="13">
                  <c:v>0.36252766847610474</c:v>
                </c:pt>
                <c:pt idx="14">
                  <c:v>0.38492409333034799</c:v>
                </c:pt>
                <c:pt idx="15">
                  <c:v>0.31099098920822144</c:v>
                </c:pt>
                <c:pt idx="16">
                  <c:v>0.31021985411643982</c:v>
                </c:pt>
                <c:pt idx="17">
                  <c:v>0.38646197319030762</c:v>
                </c:pt>
                <c:pt idx="18">
                  <c:v>0.33576896786689758</c:v>
                </c:pt>
                <c:pt idx="19">
                  <c:v>0.33213910460472107</c:v>
                </c:pt>
                <c:pt idx="20">
                  <c:v>0.32944765686988831</c:v>
                </c:pt>
                <c:pt idx="21">
                  <c:v>0.28677520155906677</c:v>
                </c:pt>
                <c:pt idx="22">
                  <c:v>0.32169464230537415</c:v>
                </c:pt>
                <c:pt idx="23">
                  <c:v>0.27924042940139771</c:v>
                </c:pt>
                <c:pt idx="24">
                  <c:v>0.34008863568305969</c:v>
                </c:pt>
                <c:pt idx="25">
                  <c:v>0.21152579784393311</c:v>
                </c:pt>
                <c:pt idx="26">
                  <c:v>0.1904241144657135</c:v>
                </c:pt>
                <c:pt idx="27">
                  <c:v>0.20392952859401703</c:v>
                </c:pt>
              </c:numCache>
            </c:numRef>
          </c:val>
          <c:smooth val="0"/>
          <c:extLst>
            <c:ext xmlns:c16="http://schemas.microsoft.com/office/drawing/2014/chart" uri="{C3380CC4-5D6E-409C-BE32-E72D297353CC}">
              <c16:uniqueId val="{00000007-E1C9-44E0-A9AF-80FD890F4DA7}"/>
            </c:ext>
          </c:extLst>
        </c:ser>
        <c:dLbls>
          <c:showLegendKey val="0"/>
          <c:showVal val="0"/>
          <c:showCatName val="0"/>
          <c:showSerName val="0"/>
          <c:showPercent val="0"/>
          <c:showBubbleSize val="0"/>
        </c:dLbls>
        <c:marker val="1"/>
        <c:smooth val="0"/>
        <c:axId val="808191872"/>
        <c:axId val="1947782480"/>
      </c:lineChart>
      <c:catAx>
        <c:axId val="808191872"/>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947782480"/>
        <c:crosses val="autoZero"/>
        <c:auto val="1"/>
        <c:lblAlgn val="ctr"/>
        <c:lblOffset val="0"/>
        <c:tickLblSkip val="1"/>
        <c:noMultiLvlLbl val="0"/>
      </c:catAx>
      <c:valAx>
        <c:axId val="1947782480"/>
        <c:scaling>
          <c:orientation val="minMax"/>
        </c:scaling>
        <c:delete val="0"/>
        <c:axPos val="l"/>
        <c:majorGridlines>
          <c:spPr>
            <a:ln w="9525" cap="flat" cmpd="sng" algn="ctr">
              <a:solidFill>
                <a:srgbClr val="FFFFFF"/>
              </a:solidFill>
              <a:prstDash val="solid"/>
              <a:round/>
            </a:ln>
            <a:effectLst/>
          </c:spPr>
        </c:majorGridlines>
        <c:numFmt formatCode="0%"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808191872"/>
        <c:crosses val="autoZero"/>
        <c:crossBetween val="between"/>
      </c:valAx>
      <c:spPr>
        <a:solidFill>
          <a:srgbClr val="EAEAEA"/>
        </a:solidFill>
        <a:ln>
          <a:noFill/>
        </a:ln>
        <a:effectLst/>
        <a:extLst>
          <a:ext uri="{91240B29-F687-4F45-9708-019B960494DF}">
            <a14:hiddenLine xmlns:a14="http://schemas.microsoft.com/office/drawing/2010/main">
              <a:noFill/>
            </a14:hiddenLine>
          </a:ext>
        </a:extLst>
      </c:spPr>
    </c:plotArea>
    <c:legend>
      <c:legendPos val="t"/>
      <c:layout>
        <c:manualLayout>
          <c:xMode val="edge"/>
          <c:yMode val="edge"/>
          <c:x val="4.4941672236046198E-2"/>
          <c:y val="1.9846672732664147E-2"/>
          <c:w val="0.9421274050744991"/>
          <c:h val="7.4425022747490549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orientation="portrait"/>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25504391694075E-3"/>
          <c:y val="0.13236324352436013"/>
          <c:w val="0.98691174341245891"/>
          <c:h val="0.85275175192614172"/>
        </c:manualLayout>
      </c:layout>
      <c:barChart>
        <c:barDir val="col"/>
        <c:grouping val="clustered"/>
        <c:varyColors val="0"/>
        <c:ser>
          <c:idx val="0"/>
          <c:order val="0"/>
          <c:tx>
            <c:strRef>
              <c:f>'HC1.4.2'!$V$3</c:f>
              <c:strCache>
                <c:ptCount val="1"/>
                <c:pt idx="0">
                  <c:v>Bottom quintile (↓)</c:v>
                </c:pt>
              </c:strCache>
            </c:strRef>
          </c:tx>
          <c:spPr>
            <a:solidFill>
              <a:srgbClr val="002F6C"/>
            </a:solidFill>
            <a:ln>
              <a:solidFill>
                <a:sysClr val="windowText" lastClr="000000"/>
              </a:solidFill>
            </a:ln>
            <a:effectLst/>
          </c:spPr>
          <c:invertIfNegative val="0"/>
          <c:dPt>
            <c:idx val="10"/>
            <c:invertIfNegative val="0"/>
            <c:bubble3D val="0"/>
            <c:spPr>
              <a:solidFill>
                <a:srgbClr val="D72B00"/>
              </a:solidFill>
              <a:ln>
                <a:solidFill>
                  <a:sysClr val="windowText" lastClr="000000"/>
                </a:solidFill>
              </a:ln>
              <a:effectLst/>
            </c:spPr>
            <c:extLst>
              <c:ext xmlns:c16="http://schemas.microsoft.com/office/drawing/2014/chart" uri="{C3380CC4-5D6E-409C-BE32-E72D297353CC}">
                <c16:uniqueId val="{00000001-7C2A-47F2-9D9B-5312A12007D8}"/>
              </c:ext>
            </c:extLst>
          </c:dPt>
          <c:dPt>
            <c:idx val="12"/>
            <c:invertIfNegative val="0"/>
            <c:bubble3D val="0"/>
            <c:spPr>
              <a:solidFill>
                <a:srgbClr val="002F6C"/>
              </a:solidFill>
              <a:ln>
                <a:solidFill>
                  <a:sysClr val="windowText" lastClr="000000"/>
                </a:solidFill>
              </a:ln>
              <a:effectLst/>
            </c:spPr>
            <c:extLst>
              <c:ext xmlns:c16="http://schemas.microsoft.com/office/drawing/2014/chart" uri="{C3380CC4-5D6E-409C-BE32-E72D297353CC}">
                <c16:uniqueId val="{00000003-7C2A-47F2-9D9B-5312A12007D8}"/>
              </c:ext>
            </c:extLst>
          </c:dPt>
          <c:dPt>
            <c:idx val="13"/>
            <c:invertIfNegative val="0"/>
            <c:bubble3D val="0"/>
            <c:spPr>
              <a:solidFill>
                <a:srgbClr val="002F6C"/>
              </a:solidFill>
              <a:ln>
                <a:solidFill>
                  <a:sysClr val="windowText" lastClr="000000"/>
                </a:solidFill>
              </a:ln>
              <a:effectLst/>
            </c:spPr>
            <c:extLst>
              <c:ext xmlns:c16="http://schemas.microsoft.com/office/drawing/2014/chart" uri="{C3380CC4-5D6E-409C-BE32-E72D297353CC}">
                <c16:uniqueId val="{00000005-7C2A-47F2-9D9B-5312A12007D8}"/>
              </c:ext>
            </c:extLst>
          </c:dPt>
          <c:cat>
            <c:strRef>
              <c:f>'HC1.4.2'!$U$4:$U$31</c:f>
              <c:strCache>
                <c:ptCount val="28"/>
                <c:pt idx="0">
                  <c:v>Mexico</c:v>
                </c:pt>
                <c:pt idx="1">
                  <c:v>Spain</c:v>
                </c:pt>
                <c:pt idx="2">
                  <c:v>Chile</c:v>
                </c:pt>
                <c:pt idx="3">
                  <c:v>Greece</c:v>
                </c:pt>
                <c:pt idx="4">
                  <c:v>Latvia</c:v>
                </c:pt>
                <c:pt idx="5">
                  <c:v>Portugal</c:v>
                </c:pt>
                <c:pt idx="6">
                  <c:v>Türkiye</c:v>
                </c:pt>
                <c:pt idx="7">
                  <c:v>Germany</c:v>
                </c:pt>
                <c:pt idx="8">
                  <c:v>Korea</c:v>
                </c:pt>
                <c:pt idx="9">
                  <c:v>Estonia</c:v>
                </c:pt>
                <c:pt idx="10">
                  <c:v>OECD - 27</c:v>
                </c:pt>
                <c:pt idx="11">
                  <c:v>Italy</c:v>
                </c:pt>
                <c:pt idx="12">
                  <c:v>Lithuania</c:v>
                </c:pt>
                <c:pt idx="13">
                  <c:v>Finland</c:v>
                </c:pt>
                <c:pt idx="14">
                  <c:v>Norway</c:v>
                </c:pt>
                <c:pt idx="15">
                  <c:v>Canada</c:v>
                </c:pt>
                <c:pt idx="16">
                  <c:v>Netherlands</c:v>
                </c:pt>
                <c:pt idx="17">
                  <c:v>Austria</c:v>
                </c:pt>
                <c:pt idx="18">
                  <c:v>United States</c:v>
                </c:pt>
                <c:pt idx="19">
                  <c:v>Switzerland</c:v>
                </c:pt>
                <c:pt idx="20">
                  <c:v>United Kingdom </c:v>
                </c:pt>
                <c:pt idx="21">
                  <c:v>Slovenia</c:v>
                </c:pt>
                <c:pt idx="22">
                  <c:v>Israel</c:v>
                </c:pt>
                <c:pt idx="23">
                  <c:v>Ireland</c:v>
                </c:pt>
                <c:pt idx="24">
                  <c:v>France</c:v>
                </c:pt>
                <c:pt idx="25">
                  <c:v>Poland</c:v>
                </c:pt>
                <c:pt idx="26">
                  <c:v>Denmark</c:v>
                </c:pt>
                <c:pt idx="27">
                  <c:v>Belgium</c:v>
                </c:pt>
              </c:strCache>
            </c:strRef>
          </c:cat>
          <c:val>
            <c:numRef>
              <c:f>'HC1.4.2'!$V$4:$V$31</c:f>
              <c:numCache>
                <c:formatCode>0%</c:formatCode>
                <c:ptCount val="28"/>
                <c:pt idx="0">
                  <c:v>0.81133836507797241</c:v>
                </c:pt>
                <c:pt idx="1">
                  <c:v>0.80349892377853394</c:v>
                </c:pt>
                <c:pt idx="2">
                  <c:v>0.7996971607208252</c:v>
                </c:pt>
                <c:pt idx="3">
                  <c:v>0.78438639640808105</c:v>
                </c:pt>
                <c:pt idx="4">
                  <c:v>0.70429360866546631</c:v>
                </c:pt>
                <c:pt idx="5">
                  <c:v>0.69972580671310425</c:v>
                </c:pt>
                <c:pt idx="6">
                  <c:v>0.69965046644210815</c:v>
                </c:pt>
                <c:pt idx="7">
                  <c:v>0.65343278646469116</c:v>
                </c:pt>
                <c:pt idx="8">
                  <c:v>0.60343992710113525</c:v>
                </c:pt>
                <c:pt idx="9">
                  <c:v>0.60225886106491089</c:v>
                </c:pt>
                <c:pt idx="10">
                  <c:v>0.59111906643267031</c:v>
                </c:pt>
                <c:pt idx="11">
                  <c:v>0.59029984474182129</c:v>
                </c:pt>
                <c:pt idx="12">
                  <c:v>0.58507245779037476</c:v>
                </c:pt>
                <c:pt idx="13">
                  <c:v>0.58264809846878052</c:v>
                </c:pt>
                <c:pt idx="14">
                  <c:v>0.57763564586639404</c:v>
                </c:pt>
                <c:pt idx="15">
                  <c:v>0.57014131546020508</c:v>
                </c:pt>
                <c:pt idx="16">
                  <c:v>0.55996370315551758</c:v>
                </c:pt>
                <c:pt idx="17">
                  <c:v>0.54733729362487793</c:v>
                </c:pt>
                <c:pt idx="18">
                  <c:v>0.53983974456787109</c:v>
                </c:pt>
                <c:pt idx="19">
                  <c:v>0.53480684757232666</c:v>
                </c:pt>
                <c:pt idx="20">
                  <c:v>0.51617008447647095</c:v>
                </c:pt>
                <c:pt idx="21">
                  <c:v>0.50452286005020142</c:v>
                </c:pt>
                <c:pt idx="22">
                  <c:v>0.50450229644775391</c:v>
                </c:pt>
                <c:pt idx="23">
                  <c:v>0.49679091572761536</c:v>
                </c:pt>
                <c:pt idx="24">
                  <c:v>0.48604676127433777</c:v>
                </c:pt>
                <c:pt idx="25">
                  <c:v>0.42374512553215027</c:v>
                </c:pt>
                <c:pt idx="26">
                  <c:v>0.3973747193813324</c:v>
                </c:pt>
                <c:pt idx="27">
                  <c:v>0.38159477710723877</c:v>
                </c:pt>
              </c:numCache>
            </c:numRef>
          </c:val>
          <c:extLst>
            <c:ext xmlns:c16="http://schemas.microsoft.com/office/drawing/2014/chart" uri="{C3380CC4-5D6E-409C-BE32-E72D297353CC}">
              <c16:uniqueId val="{00000006-7C2A-47F2-9D9B-5312A12007D8}"/>
            </c:ext>
          </c:extLst>
        </c:ser>
        <c:dLbls>
          <c:showLegendKey val="0"/>
          <c:showVal val="0"/>
          <c:showCatName val="0"/>
          <c:showSerName val="0"/>
          <c:showPercent val="0"/>
          <c:showBubbleSize val="0"/>
        </c:dLbls>
        <c:gapWidth val="150"/>
        <c:overlap val="-27"/>
        <c:axId val="808191872"/>
        <c:axId val="1947782480"/>
      </c:barChart>
      <c:lineChart>
        <c:grouping val="standard"/>
        <c:varyColors val="0"/>
        <c:ser>
          <c:idx val="1"/>
          <c:order val="1"/>
          <c:tx>
            <c:strRef>
              <c:f>'HC1.4.2'!$W$3</c:f>
              <c:strCache>
                <c:ptCount val="1"/>
                <c:pt idx="0">
                  <c:v>Third quintile</c:v>
                </c:pt>
              </c:strCache>
            </c:strRef>
          </c:tx>
          <c:spPr>
            <a:ln w="28575" cap="rnd">
              <a:noFill/>
              <a:round/>
            </a:ln>
            <a:effectLst/>
          </c:spPr>
          <c:marker>
            <c:symbol val="diamond"/>
            <c:size val="6"/>
            <c:spPr>
              <a:solidFill>
                <a:srgbClr val="7FA8D9"/>
              </a:solidFill>
              <a:ln w="9525">
                <a:solidFill>
                  <a:schemeClr val="tx1"/>
                </a:solidFill>
              </a:ln>
              <a:effectLst/>
            </c:spPr>
          </c:marker>
          <c:dPt>
            <c:idx val="10"/>
            <c:marker>
              <c:symbol val="diamond"/>
              <c:size val="6"/>
              <c:spPr>
                <a:solidFill>
                  <a:srgbClr val="7FA8D9"/>
                </a:solidFill>
                <a:ln w="9525">
                  <a:solidFill>
                    <a:schemeClr val="tx1"/>
                  </a:solidFill>
                </a:ln>
                <a:effectLst/>
              </c:spPr>
            </c:marker>
            <c:bubble3D val="0"/>
            <c:spPr>
              <a:ln w="28575" cap="rnd">
                <a:noFill/>
                <a:round/>
              </a:ln>
              <a:effectLst/>
            </c:spPr>
            <c:extLst>
              <c:ext xmlns:c16="http://schemas.microsoft.com/office/drawing/2014/chart" uri="{C3380CC4-5D6E-409C-BE32-E72D297353CC}">
                <c16:uniqueId val="{00000008-7C2A-47F2-9D9B-5312A12007D8}"/>
              </c:ext>
            </c:extLst>
          </c:dPt>
          <c:dPt>
            <c:idx val="13"/>
            <c:marker>
              <c:symbol val="diamond"/>
              <c:size val="6"/>
              <c:spPr>
                <a:solidFill>
                  <a:srgbClr val="7FA8D9"/>
                </a:solidFill>
                <a:ln w="9525">
                  <a:solidFill>
                    <a:schemeClr val="tx1"/>
                  </a:solidFill>
                </a:ln>
                <a:effectLst/>
              </c:spPr>
            </c:marker>
            <c:bubble3D val="0"/>
            <c:spPr>
              <a:ln w="28575" cap="rnd">
                <a:noFill/>
                <a:round/>
              </a:ln>
              <a:effectLst/>
            </c:spPr>
            <c:extLst>
              <c:ext xmlns:c16="http://schemas.microsoft.com/office/drawing/2014/chart" uri="{C3380CC4-5D6E-409C-BE32-E72D297353CC}">
                <c16:uniqueId val="{0000000A-7C2A-47F2-9D9B-5312A12007D8}"/>
              </c:ext>
            </c:extLst>
          </c:dPt>
          <c:cat>
            <c:strRef>
              <c:f>'HC1.4.2'!$U$4:$U$31</c:f>
              <c:strCache>
                <c:ptCount val="28"/>
                <c:pt idx="0">
                  <c:v>Mexico</c:v>
                </c:pt>
                <c:pt idx="1">
                  <c:v>Spain</c:v>
                </c:pt>
                <c:pt idx="2">
                  <c:v>Chile</c:v>
                </c:pt>
                <c:pt idx="3">
                  <c:v>Greece</c:v>
                </c:pt>
                <c:pt idx="4">
                  <c:v>Latvia</c:v>
                </c:pt>
                <c:pt idx="5">
                  <c:v>Portugal</c:v>
                </c:pt>
                <c:pt idx="6">
                  <c:v>Türkiye</c:v>
                </c:pt>
                <c:pt idx="7">
                  <c:v>Germany</c:v>
                </c:pt>
                <c:pt idx="8">
                  <c:v>Korea</c:v>
                </c:pt>
                <c:pt idx="9">
                  <c:v>Estonia</c:v>
                </c:pt>
                <c:pt idx="10">
                  <c:v>OECD - 27</c:v>
                </c:pt>
                <c:pt idx="11">
                  <c:v>Italy</c:v>
                </c:pt>
                <c:pt idx="12">
                  <c:v>Lithuania</c:v>
                </c:pt>
                <c:pt idx="13">
                  <c:v>Finland</c:v>
                </c:pt>
                <c:pt idx="14">
                  <c:v>Norway</c:v>
                </c:pt>
                <c:pt idx="15">
                  <c:v>Canada</c:v>
                </c:pt>
                <c:pt idx="16">
                  <c:v>Netherlands</c:v>
                </c:pt>
                <c:pt idx="17">
                  <c:v>Austria</c:v>
                </c:pt>
                <c:pt idx="18">
                  <c:v>United States</c:v>
                </c:pt>
                <c:pt idx="19">
                  <c:v>Switzerland</c:v>
                </c:pt>
                <c:pt idx="20">
                  <c:v>United Kingdom </c:v>
                </c:pt>
                <c:pt idx="21">
                  <c:v>Slovenia</c:v>
                </c:pt>
                <c:pt idx="22">
                  <c:v>Israel</c:v>
                </c:pt>
                <c:pt idx="23">
                  <c:v>Ireland</c:v>
                </c:pt>
                <c:pt idx="24">
                  <c:v>France</c:v>
                </c:pt>
                <c:pt idx="25">
                  <c:v>Poland</c:v>
                </c:pt>
                <c:pt idx="26">
                  <c:v>Denmark</c:v>
                </c:pt>
                <c:pt idx="27">
                  <c:v>Belgium</c:v>
                </c:pt>
              </c:strCache>
            </c:strRef>
          </c:cat>
          <c:val>
            <c:numRef>
              <c:f>'HC1.4.2'!$W$4:$W$31</c:f>
              <c:numCache>
                <c:formatCode>0%</c:formatCode>
                <c:ptCount val="28"/>
                <c:pt idx="0">
                  <c:v>0.74478018283843994</c:v>
                </c:pt>
                <c:pt idx="1">
                  <c:v>0.64709454774856567</c:v>
                </c:pt>
                <c:pt idx="2">
                  <c:v>0.70804256200790405</c:v>
                </c:pt>
                <c:pt idx="3">
                  <c:v>0.69269216060638428</c:v>
                </c:pt>
                <c:pt idx="4">
                  <c:v>0.54312556982040405</c:v>
                </c:pt>
                <c:pt idx="5">
                  <c:v>0.51986289024353027</c:v>
                </c:pt>
                <c:pt idx="6">
                  <c:v>0.66580319404602051</c:v>
                </c:pt>
                <c:pt idx="7">
                  <c:v>0.39904347062110901</c:v>
                </c:pt>
                <c:pt idx="8">
                  <c:v>0.48172837495803833</c:v>
                </c:pt>
                <c:pt idx="9">
                  <c:v>0.46573832631111145</c:v>
                </c:pt>
                <c:pt idx="10">
                  <c:v>0.45074729786978829</c:v>
                </c:pt>
                <c:pt idx="11">
                  <c:v>0.37201905250549316</c:v>
                </c:pt>
                <c:pt idx="12">
                  <c:v>0.45508399605751038</c:v>
                </c:pt>
                <c:pt idx="13">
                  <c:v>0.29644760489463806</c:v>
                </c:pt>
                <c:pt idx="14">
                  <c:v>0.34177574515342712</c:v>
                </c:pt>
                <c:pt idx="15">
                  <c:v>0.46048524975776672</c:v>
                </c:pt>
                <c:pt idx="16">
                  <c:v>0.44213786721229553</c:v>
                </c:pt>
                <c:pt idx="17">
                  <c:v>0.33516401052474976</c:v>
                </c:pt>
                <c:pt idx="18">
                  <c:v>0.45340541005134583</c:v>
                </c:pt>
                <c:pt idx="19">
                  <c:v>0.4308454692363739</c:v>
                </c:pt>
                <c:pt idx="20">
                  <c:v>0.33281418681144714</c:v>
                </c:pt>
                <c:pt idx="21">
                  <c:v>0.30733960866928101</c:v>
                </c:pt>
                <c:pt idx="22">
                  <c:v>0.47490671277046204</c:v>
                </c:pt>
                <c:pt idx="23">
                  <c:v>0.32213425636291504</c:v>
                </c:pt>
                <c:pt idx="24">
                  <c:v>0.45097211003303528</c:v>
                </c:pt>
                <c:pt idx="25">
                  <c:v>0.34597435593605042</c:v>
                </c:pt>
                <c:pt idx="26">
                  <c:v>0.25106993317604065</c:v>
                </c:pt>
                <c:pt idx="27">
                  <c:v>0.22969019412994385</c:v>
                </c:pt>
              </c:numCache>
            </c:numRef>
          </c:val>
          <c:smooth val="0"/>
          <c:extLst>
            <c:ext xmlns:c16="http://schemas.microsoft.com/office/drawing/2014/chart" uri="{C3380CC4-5D6E-409C-BE32-E72D297353CC}">
              <c16:uniqueId val="{0000000B-7C2A-47F2-9D9B-5312A12007D8}"/>
            </c:ext>
          </c:extLst>
        </c:ser>
        <c:ser>
          <c:idx val="2"/>
          <c:order val="2"/>
          <c:tx>
            <c:strRef>
              <c:f>'HC1.4.2'!$X$3</c:f>
              <c:strCache>
                <c:ptCount val="1"/>
                <c:pt idx="0">
                  <c:v>Top quintile</c:v>
                </c:pt>
              </c:strCache>
            </c:strRef>
          </c:tx>
          <c:spPr>
            <a:ln w="28575" cap="rnd">
              <a:noFill/>
              <a:round/>
            </a:ln>
            <a:effectLst/>
          </c:spPr>
          <c:marker>
            <c:symbol val="triangle"/>
            <c:size val="6"/>
            <c:spPr>
              <a:solidFill>
                <a:schemeClr val="bg1"/>
              </a:solidFill>
              <a:ln w="9525">
                <a:solidFill>
                  <a:schemeClr val="tx1"/>
                </a:solidFill>
              </a:ln>
              <a:effectLst/>
            </c:spPr>
          </c:marker>
          <c:dPt>
            <c:idx val="13"/>
            <c:marker>
              <c:symbol val="triangle"/>
              <c:size val="6"/>
              <c:spPr>
                <a:solidFill>
                  <a:schemeClr val="bg1"/>
                </a:solidFill>
                <a:ln w="9525">
                  <a:solidFill>
                    <a:schemeClr val="tx1"/>
                  </a:solidFill>
                </a:ln>
                <a:effectLst/>
              </c:spPr>
            </c:marker>
            <c:bubble3D val="0"/>
            <c:spPr>
              <a:ln w="28575" cap="rnd">
                <a:noFill/>
                <a:round/>
              </a:ln>
              <a:effectLst/>
            </c:spPr>
            <c:extLst>
              <c:ext xmlns:c16="http://schemas.microsoft.com/office/drawing/2014/chart" uri="{C3380CC4-5D6E-409C-BE32-E72D297353CC}">
                <c16:uniqueId val="{0000000B-0034-4A0B-8611-1FEFBEA4064A}"/>
              </c:ext>
            </c:extLst>
          </c:dPt>
          <c:cat>
            <c:strRef>
              <c:f>'HC1.4.2'!$U$4:$U$31</c:f>
              <c:strCache>
                <c:ptCount val="28"/>
                <c:pt idx="0">
                  <c:v>Mexico</c:v>
                </c:pt>
                <c:pt idx="1">
                  <c:v>Spain</c:v>
                </c:pt>
                <c:pt idx="2">
                  <c:v>Chile</c:v>
                </c:pt>
                <c:pt idx="3">
                  <c:v>Greece</c:v>
                </c:pt>
                <c:pt idx="4">
                  <c:v>Latvia</c:v>
                </c:pt>
                <c:pt idx="5">
                  <c:v>Portugal</c:v>
                </c:pt>
                <c:pt idx="6">
                  <c:v>Türkiye</c:v>
                </c:pt>
                <c:pt idx="7">
                  <c:v>Germany</c:v>
                </c:pt>
                <c:pt idx="8">
                  <c:v>Korea</c:v>
                </c:pt>
                <c:pt idx="9">
                  <c:v>Estonia</c:v>
                </c:pt>
                <c:pt idx="10">
                  <c:v>OECD - 27</c:v>
                </c:pt>
                <c:pt idx="11">
                  <c:v>Italy</c:v>
                </c:pt>
                <c:pt idx="12">
                  <c:v>Lithuania</c:v>
                </c:pt>
                <c:pt idx="13">
                  <c:v>Finland</c:v>
                </c:pt>
                <c:pt idx="14">
                  <c:v>Norway</c:v>
                </c:pt>
                <c:pt idx="15">
                  <c:v>Canada</c:v>
                </c:pt>
                <c:pt idx="16">
                  <c:v>Netherlands</c:v>
                </c:pt>
                <c:pt idx="17">
                  <c:v>Austria</c:v>
                </c:pt>
                <c:pt idx="18">
                  <c:v>United States</c:v>
                </c:pt>
                <c:pt idx="19">
                  <c:v>Switzerland</c:v>
                </c:pt>
                <c:pt idx="20">
                  <c:v>United Kingdom </c:v>
                </c:pt>
                <c:pt idx="21">
                  <c:v>Slovenia</c:v>
                </c:pt>
                <c:pt idx="22">
                  <c:v>Israel</c:v>
                </c:pt>
                <c:pt idx="23">
                  <c:v>Ireland</c:v>
                </c:pt>
                <c:pt idx="24">
                  <c:v>France</c:v>
                </c:pt>
                <c:pt idx="25">
                  <c:v>Poland</c:v>
                </c:pt>
                <c:pt idx="26">
                  <c:v>Denmark</c:v>
                </c:pt>
                <c:pt idx="27">
                  <c:v>Belgium</c:v>
                </c:pt>
              </c:strCache>
            </c:strRef>
          </c:cat>
          <c:val>
            <c:numRef>
              <c:f>'HC1.4.2'!$X$4:$X$31</c:f>
              <c:numCache>
                <c:formatCode>0%</c:formatCode>
                <c:ptCount val="28"/>
                <c:pt idx="0">
                  <c:v>0.58841544389724731</c:v>
                </c:pt>
                <c:pt idx="1">
                  <c:v>0.53841418027877808</c:v>
                </c:pt>
                <c:pt idx="2">
                  <c:v>0.66738754510879517</c:v>
                </c:pt>
                <c:pt idx="3">
                  <c:v>0.53920537233352661</c:v>
                </c:pt>
                <c:pt idx="4">
                  <c:v>0.50638002157211304</c:v>
                </c:pt>
                <c:pt idx="5">
                  <c:v>0.41298744082450867</c:v>
                </c:pt>
                <c:pt idx="6">
                  <c:v>0.49572411179542542</c:v>
                </c:pt>
                <c:pt idx="7">
                  <c:v>0.3641088604927063</c:v>
                </c:pt>
                <c:pt idx="8">
                  <c:v>0.35608690977096558</c:v>
                </c:pt>
                <c:pt idx="9">
                  <c:v>0.35898482799530029</c:v>
                </c:pt>
                <c:pt idx="10">
                  <c:v>0.40652424317819102</c:v>
                </c:pt>
                <c:pt idx="11">
                  <c:v>0.33125802874565125</c:v>
                </c:pt>
                <c:pt idx="12">
                  <c:v>0.41580218076705933</c:v>
                </c:pt>
                <c:pt idx="13">
                  <c:v>0.4038216769695282</c:v>
                </c:pt>
                <c:pt idx="14">
                  <c:v>0.42558541893959045</c:v>
                </c:pt>
                <c:pt idx="15">
                  <c:v>0.37038552761077881</c:v>
                </c:pt>
                <c:pt idx="16">
                  <c:v>0.38921266794204712</c:v>
                </c:pt>
                <c:pt idx="17">
                  <c:v>0.16590441763401031</c:v>
                </c:pt>
                <c:pt idx="18">
                  <c:v>0.40709137916564941</c:v>
                </c:pt>
                <c:pt idx="19">
                  <c:v>0.36978399753570557</c:v>
                </c:pt>
                <c:pt idx="20">
                  <c:v>0.47646942734718323</c:v>
                </c:pt>
                <c:pt idx="21">
                  <c:v>0.4567713737487793</c:v>
                </c:pt>
                <c:pt idx="22">
                  <c:v>0.3799700140953064</c:v>
                </c:pt>
                <c:pt idx="23">
                  <c:v>0.38011935353279114</c:v>
                </c:pt>
                <c:pt idx="24">
                  <c:v>0.34322142601013184</c:v>
                </c:pt>
                <c:pt idx="25">
                  <c:v>0.36493435502052307</c:v>
                </c:pt>
                <c:pt idx="26">
                  <c:v>0.20257212221622467</c:v>
                </c:pt>
                <c:pt idx="27">
                  <c:v>0.26555648446083069</c:v>
                </c:pt>
              </c:numCache>
            </c:numRef>
          </c:val>
          <c:smooth val="0"/>
          <c:extLst>
            <c:ext xmlns:c16="http://schemas.microsoft.com/office/drawing/2014/chart" uri="{C3380CC4-5D6E-409C-BE32-E72D297353CC}">
              <c16:uniqueId val="{0000000A-0034-4A0B-8611-1FEFBEA4064A}"/>
            </c:ext>
          </c:extLst>
        </c:ser>
        <c:dLbls>
          <c:showLegendKey val="0"/>
          <c:showVal val="0"/>
          <c:showCatName val="0"/>
          <c:showSerName val="0"/>
          <c:showPercent val="0"/>
          <c:showBubbleSize val="0"/>
        </c:dLbls>
        <c:marker val="1"/>
        <c:smooth val="0"/>
        <c:axId val="808191872"/>
        <c:axId val="1947782480"/>
      </c:lineChart>
      <c:catAx>
        <c:axId val="808191872"/>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947782480"/>
        <c:crosses val="autoZero"/>
        <c:auto val="1"/>
        <c:lblAlgn val="ctr"/>
        <c:lblOffset val="0"/>
        <c:tickLblSkip val="1"/>
        <c:noMultiLvlLbl val="0"/>
      </c:catAx>
      <c:valAx>
        <c:axId val="1947782480"/>
        <c:scaling>
          <c:orientation val="minMax"/>
        </c:scaling>
        <c:delete val="0"/>
        <c:axPos val="l"/>
        <c:majorGridlines>
          <c:spPr>
            <a:ln w="9525" cap="flat" cmpd="sng" algn="ctr">
              <a:solidFill>
                <a:srgbClr val="FFFFFF"/>
              </a:solidFill>
              <a:prstDash val="solid"/>
              <a:round/>
            </a:ln>
            <a:effectLst/>
          </c:spPr>
        </c:majorGridlines>
        <c:numFmt formatCode="0%"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808191872"/>
        <c:crosses val="autoZero"/>
        <c:crossBetween val="between"/>
      </c:valAx>
      <c:spPr>
        <a:solidFill>
          <a:srgbClr val="EAEAEA"/>
        </a:solidFill>
        <a:ln>
          <a:noFill/>
        </a:ln>
        <a:effectLst/>
        <a:extLst>
          <a:ext uri="{91240B29-F687-4F45-9708-019B960494DF}">
            <a14:hiddenLine xmlns:a14="http://schemas.microsoft.com/office/drawing/2010/main">
              <a:noFill/>
            </a14:hiddenLine>
          </a:ext>
        </a:extLst>
      </c:spPr>
    </c:plotArea>
    <c:legend>
      <c:legendPos val="t"/>
      <c:layout>
        <c:manualLayout>
          <c:xMode val="edge"/>
          <c:yMode val="edge"/>
          <c:x val="4.4941672236046198E-2"/>
          <c:y val="1.9846672732664147E-2"/>
          <c:w val="0.95505826898706137"/>
          <c:h val="7.4863512265283233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orientation="portrait"/>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25504391694075E-3"/>
          <c:y val="0.13236324352436013"/>
          <c:w val="0.98691174341245891"/>
          <c:h val="0.85275175192614172"/>
        </c:manualLayout>
      </c:layout>
      <c:barChart>
        <c:barDir val="col"/>
        <c:grouping val="clustered"/>
        <c:varyColors val="0"/>
        <c:ser>
          <c:idx val="0"/>
          <c:order val="0"/>
          <c:tx>
            <c:strRef>
              <c:f>'HC1.4.2'!$AA$3</c:f>
              <c:strCache>
                <c:ptCount val="1"/>
                <c:pt idx="0">
                  <c:v>18-24 years old (↓)</c:v>
                </c:pt>
              </c:strCache>
            </c:strRef>
          </c:tx>
          <c:spPr>
            <a:solidFill>
              <a:srgbClr val="002F6C"/>
            </a:solidFill>
            <a:ln>
              <a:solidFill>
                <a:sysClr val="windowText" lastClr="000000"/>
              </a:solidFill>
            </a:ln>
            <a:effectLst/>
          </c:spPr>
          <c:invertIfNegative val="0"/>
          <c:dPt>
            <c:idx val="10"/>
            <c:invertIfNegative val="0"/>
            <c:bubble3D val="0"/>
            <c:spPr>
              <a:solidFill>
                <a:srgbClr val="002F6C"/>
              </a:solidFill>
              <a:ln>
                <a:solidFill>
                  <a:sysClr val="windowText" lastClr="000000"/>
                </a:solidFill>
              </a:ln>
              <a:effectLst/>
            </c:spPr>
            <c:extLst>
              <c:ext xmlns:c16="http://schemas.microsoft.com/office/drawing/2014/chart" uri="{C3380CC4-5D6E-409C-BE32-E72D297353CC}">
                <c16:uniqueId val="{00000001-9729-4CFD-A9E5-0A625F784D0D}"/>
              </c:ext>
            </c:extLst>
          </c:dPt>
          <c:dPt>
            <c:idx val="12"/>
            <c:invertIfNegative val="0"/>
            <c:bubble3D val="0"/>
            <c:spPr>
              <a:solidFill>
                <a:srgbClr val="002F6C"/>
              </a:solidFill>
              <a:ln>
                <a:solidFill>
                  <a:sysClr val="windowText" lastClr="000000"/>
                </a:solidFill>
              </a:ln>
              <a:effectLst/>
            </c:spPr>
            <c:extLst>
              <c:ext xmlns:c16="http://schemas.microsoft.com/office/drawing/2014/chart" uri="{C3380CC4-5D6E-409C-BE32-E72D297353CC}">
                <c16:uniqueId val="{00000003-9729-4CFD-A9E5-0A625F784D0D}"/>
              </c:ext>
            </c:extLst>
          </c:dPt>
          <c:dPt>
            <c:idx val="13"/>
            <c:invertIfNegative val="0"/>
            <c:bubble3D val="0"/>
            <c:spPr>
              <a:solidFill>
                <a:srgbClr val="D72B00"/>
              </a:solidFill>
              <a:ln>
                <a:solidFill>
                  <a:sysClr val="windowText" lastClr="000000"/>
                </a:solidFill>
              </a:ln>
              <a:effectLst/>
            </c:spPr>
            <c:extLst>
              <c:ext xmlns:c16="http://schemas.microsoft.com/office/drawing/2014/chart" uri="{C3380CC4-5D6E-409C-BE32-E72D297353CC}">
                <c16:uniqueId val="{00000005-9729-4CFD-A9E5-0A625F784D0D}"/>
              </c:ext>
            </c:extLst>
          </c:dPt>
          <c:dPt>
            <c:idx val="14"/>
            <c:invertIfNegative val="0"/>
            <c:bubble3D val="0"/>
            <c:spPr>
              <a:solidFill>
                <a:srgbClr val="002F6C"/>
              </a:solidFill>
              <a:ln>
                <a:solidFill>
                  <a:sysClr val="windowText" lastClr="000000"/>
                </a:solidFill>
              </a:ln>
              <a:effectLst/>
            </c:spPr>
            <c:extLst>
              <c:ext xmlns:c16="http://schemas.microsoft.com/office/drawing/2014/chart" uri="{C3380CC4-5D6E-409C-BE32-E72D297353CC}">
                <c16:uniqueId val="{0000000C-9729-4CFD-A9E5-0A625F784D0D}"/>
              </c:ext>
            </c:extLst>
          </c:dPt>
          <c:cat>
            <c:strRef>
              <c:f>'HC1.4.2'!$Z$4:$Z$31</c:f>
              <c:strCache>
                <c:ptCount val="28"/>
                <c:pt idx="0">
                  <c:v>Chile</c:v>
                </c:pt>
                <c:pt idx="1">
                  <c:v>Spain</c:v>
                </c:pt>
                <c:pt idx="2">
                  <c:v>Mexico</c:v>
                </c:pt>
                <c:pt idx="3">
                  <c:v>Portugal</c:v>
                </c:pt>
                <c:pt idx="4">
                  <c:v>Greece</c:v>
                </c:pt>
                <c:pt idx="5">
                  <c:v>Ireland</c:v>
                </c:pt>
                <c:pt idx="6">
                  <c:v>Canada</c:v>
                </c:pt>
                <c:pt idx="7">
                  <c:v>Germany</c:v>
                </c:pt>
                <c:pt idx="8">
                  <c:v>Austria</c:v>
                </c:pt>
                <c:pt idx="9">
                  <c:v>Lithuania</c:v>
                </c:pt>
                <c:pt idx="10">
                  <c:v>Latvia</c:v>
                </c:pt>
                <c:pt idx="11">
                  <c:v>Italy</c:v>
                </c:pt>
                <c:pt idx="12">
                  <c:v>Netherlands</c:v>
                </c:pt>
                <c:pt idx="13">
                  <c:v>OECD - 27</c:v>
                </c:pt>
                <c:pt idx="14">
                  <c:v>Norway</c:v>
                </c:pt>
                <c:pt idx="15">
                  <c:v>Poland</c:v>
                </c:pt>
                <c:pt idx="16">
                  <c:v>Finland</c:v>
                </c:pt>
                <c:pt idx="17">
                  <c:v>Türkiye</c:v>
                </c:pt>
                <c:pt idx="18">
                  <c:v>Slovenia</c:v>
                </c:pt>
                <c:pt idx="19">
                  <c:v>Belgium</c:v>
                </c:pt>
                <c:pt idx="20">
                  <c:v>United States</c:v>
                </c:pt>
                <c:pt idx="21">
                  <c:v>United Kingdom </c:v>
                </c:pt>
                <c:pt idx="22">
                  <c:v>Korea</c:v>
                </c:pt>
                <c:pt idx="23">
                  <c:v>Israel</c:v>
                </c:pt>
                <c:pt idx="24">
                  <c:v>Switzerland</c:v>
                </c:pt>
                <c:pt idx="25">
                  <c:v>Estonia</c:v>
                </c:pt>
                <c:pt idx="26">
                  <c:v>Denmark</c:v>
                </c:pt>
                <c:pt idx="27">
                  <c:v>France</c:v>
                </c:pt>
              </c:strCache>
            </c:strRef>
          </c:cat>
          <c:val>
            <c:numRef>
              <c:f>'HC1.4.2'!$AA$4:$AA$31</c:f>
              <c:numCache>
                <c:formatCode>0%</c:formatCode>
                <c:ptCount val="28"/>
                <c:pt idx="0">
                  <c:v>0.7797667384147644</c:v>
                </c:pt>
                <c:pt idx="1">
                  <c:v>0.76464122533798218</c:v>
                </c:pt>
                <c:pt idx="2">
                  <c:v>0.76378774642944336</c:v>
                </c:pt>
                <c:pt idx="3">
                  <c:v>0.70321047306060791</c:v>
                </c:pt>
                <c:pt idx="4">
                  <c:v>0.70305478572845459</c:v>
                </c:pt>
                <c:pt idx="5">
                  <c:v>0.67619132995605469</c:v>
                </c:pt>
                <c:pt idx="6">
                  <c:v>0.63508468866348267</c:v>
                </c:pt>
                <c:pt idx="7">
                  <c:v>0.63378101587295532</c:v>
                </c:pt>
                <c:pt idx="8">
                  <c:v>0.62410527467727661</c:v>
                </c:pt>
                <c:pt idx="9">
                  <c:v>0.61560314893722534</c:v>
                </c:pt>
                <c:pt idx="10">
                  <c:v>0.61345714330673218</c:v>
                </c:pt>
                <c:pt idx="11">
                  <c:v>0.60061180591583252</c:v>
                </c:pt>
                <c:pt idx="12">
                  <c:v>0.59416919946670532</c:v>
                </c:pt>
                <c:pt idx="13">
                  <c:v>0.5900694209116476</c:v>
                </c:pt>
                <c:pt idx="14">
                  <c:v>0.58021736145019531</c:v>
                </c:pt>
                <c:pt idx="15">
                  <c:v>0.5739293098449707</c:v>
                </c:pt>
                <c:pt idx="16">
                  <c:v>0.57248997688293457</c:v>
                </c:pt>
                <c:pt idx="17">
                  <c:v>0.56841409206390381</c:v>
                </c:pt>
                <c:pt idx="18">
                  <c:v>0.54977786540985107</c:v>
                </c:pt>
                <c:pt idx="19">
                  <c:v>0.54723376035690308</c:v>
                </c:pt>
                <c:pt idx="20">
                  <c:v>0.54204833507537842</c:v>
                </c:pt>
                <c:pt idx="21">
                  <c:v>0.54000687599182129</c:v>
                </c:pt>
                <c:pt idx="22">
                  <c:v>0.50736451148986816</c:v>
                </c:pt>
                <c:pt idx="23">
                  <c:v>0.50095283985137939</c:v>
                </c:pt>
                <c:pt idx="24">
                  <c:v>0.48279485106468201</c:v>
                </c:pt>
                <c:pt idx="25">
                  <c:v>0.43469789624214172</c:v>
                </c:pt>
                <c:pt idx="26">
                  <c:v>0.41819119453430176</c:v>
                </c:pt>
                <c:pt idx="27">
                  <c:v>0.40629091858863831</c:v>
                </c:pt>
              </c:numCache>
            </c:numRef>
          </c:val>
          <c:extLst>
            <c:ext xmlns:c16="http://schemas.microsoft.com/office/drawing/2014/chart" uri="{C3380CC4-5D6E-409C-BE32-E72D297353CC}">
              <c16:uniqueId val="{00000006-9729-4CFD-A9E5-0A625F784D0D}"/>
            </c:ext>
          </c:extLst>
        </c:ser>
        <c:dLbls>
          <c:showLegendKey val="0"/>
          <c:showVal val="0"/>
          <c:showCatName val="0"/>
          <c:showSerName val="0"/>
          <c:showPercent val="0"/>
          <c:showBubbleSize val="0"/>
        </c:dLbls>
        <c:gapWidth val="150"/>
        <c:overlap val="-27"/>
        <c:axId val="808191872"/>
        <c:axId val="1947782480"/>
      </c:barChart>
      <c:lineChart>
        <c:grouping val="standard"/>
        <c:varyColors val="0"/>
        <c:ser>
          <c:idx val="1"/>
          <c:order val="1"/>
          <c:tx>
            <c:strRef>
              <c:f>'HC1.4.2'!$AB$3</c:f>
              <c:strCache>
                <c:ptCount val="1"/>
                <c:pt idx="0">
                  <c:v>25-64 years old</c:v>
                </c:pt>
              </c:strCache>
            </c:strRef>
          </c:tx>
          <c:spPr>
            <a:ln w="28575" cap="rnd">
              <a:noFill/>
              <a:round/>
            </a:ln>
            <a:effectLst/>
          </c:spPr>
          <c:marker>
            <c:symbol val="triangle"/>
            <c:size val="6"/>
            <c:spPr>
              <a:solidFill>
                <a:schemeClr val="bg1"/>
              </a:solidFill>
              <a:ln w="9525">
                <a:solidFill>
                  <a:schemeClr val="tx1"/>
                </a:solidFill>
              </a:ln>
              <a:effectLst/>
            </c:spPr>
          </c:marker>
          <c:dPt>
            <c:idx val="10"/>
            <c:marker>
              <c:symbol val="triangle"/>
              <c:size val="6"/>
              <c:spPr>
                <a:solidFill>
                  <a:schemeClr val="bg1"/>
                </a:solidFill>
                <a:ln w="9525">
                  <a:solidFill>
                    <a:schemeClr val="tx1"/>
                  </a:solidFill>
                </a:ln>
                <a:effectLst/>
              </c:spPr>
            </c:marker>
            <c:bubble3D val="0"/>
            <c:spPr>
              <a:ln w="28575" cap="rnd">
                <a:noFill/>
                <a:round/>
              </a:ln>
              <a:effectLst/>
            </c:spPr>
            <c:extLst>
              <c:ext xmlns:c16="http://schemas.microsoft.com/office/drawing/2014/chart" uri="{C3380CC4-5D6E-409C-BE32-E72D297353CC}">
                <c16:uniqueId val="{00000008-9729-4CFD-A9E5-0A625F784D0D}"/>
              </c:ext>
            </c:extLst>
          </c:dPt>
          <c:dPt>
            <c:idx val="13"/>
            <c:marker>
              <c:symbol val="triangle"/>
              <c:size val="6"/>
              <c:spPr>
                <a:solidFill>
                  <a:schemeClr val="bg1"/>
                </a:solidFill>
                <a:ln w="9525">
                  <a:solidFill>
                    <a:schemeClr val="tx1"/>
                  </a:solidFill>
                </a:ln>
                <a:effectLst/>
              </c:spPr>
            </c:marker>
            <c:bubble3D val="0"/>
            <c:spPr>
              <a:ln w="28575" cap="rnd">
                <a:noFill/>
                <a:round/>
              </a:ln>
              <a:effectLst/>
            </c:spPr>
            <c:extLst>
              <c:ext xmlns:c16="http://schemas.microsoft.com/office/drawing/2014/chart" uri="{C3380CC4-5D6E-409C-BE32-E72D297353CC}">
                <c16:uniqueId val="{0000000A-9729-4CFD-A9E5-0A625F784D0D}"/>
              </c:ext>
            </c:extLst>
          </c:dPt>
          <c:dPt>
            <c:idx val="14"/>
            <c:marker>
              <c:symbol val="triangle"/>
              <c:size val="6"/>
              <c:spPr>
                <a:solidFill>
                  <a:schemeClr val="bg1"/>
                </a:solidFill>
                <a:ln w="9525">
                  <a:solidFill>
                    <a:schemeClr val="tx1"/>
                  </a:solidFill>
                </a:ln>
                <a:effectLst/>
              </c:spPr>
            </c:marker>
            <c:bubble3D val="0"/>
            <c:spPr>
              <a:ln w="28575" cap="rnd">
                <a:noFill/>
                <a:round/>
              </a:ln>
              <a:effectLst/>
            </c:spPr>
            <c:extLst>
              <c:ext xmlns:c16="http://schemas.microsoft.com/office/drawing/2014/chart" uri="{C3380CC4-5D6E-409C-BE32-E72D297353CC}">
                <c16:uniqueId val="{0000000D-9729-4CFD-A9E5-0A625F784D0D}"/>
              </c:ext>
            </c:extLst>
          </c:dPt>
          <c:cat>
            <c:strRef>
              <c:f>'HC1.4.2'!$Z$4:$Z$31</c:f>
              <c:strCache>
                <c:ptCount val="28"/>
                <c:pt idx="0">
                  <c:v>Chile</c:v>
                </c:pt>
                <c:pt idx="1">
                  <c:v>Spain</c:v>
                </c:pt>
                <c:pt idx="2">
                  <c:v>Mexico</c:v>
                </c:pt>
                <c:pt idx="3">
                  <c:v>Portugal</c:v>
                </c:pt>
                <c:pt idx="4">
                  <c:v>Greece</c:v>
                </c:pt>
                <c:pt idx="5">
                  <c:v>Ireland</c:v>
                </c:pt>
                <c:pt idx="6">
                  <c:v>Canada</c:v>
                </c:pt>
                <c:pt idx="7">
                  <c:v>Germany</c:v>
                </c:pt>
                <c:pt idx="8">
                  <c:v>Austria</c:v>
                </c:pt>
                <c:pt idx="9">
                  <c:v>Lithuania</c:v>
                </c:pt>
                <c:pt idx="10">
                  <c:v>Latvia</c:v>
                </c:pt>
                <c:pt idx="11">
                  <c:v>Italy</c:v>
                </c:pt>
                <c:pt idx="12">
                  <c:v>Netherlands</c:v>
                </c:pt>
                <c:pt idx="13">
                  <c:v>OECD - 27</c:v>
                </c:pt>
                <c:pt idx="14">
                  <c:v>Norway</c:v>
                </c:pt>
                <c:pt idx="15">
                  <c:v>Poland</c:v>
                </c:pt>
                <c:pt idx="16">
                  <c:v>Finland</c:v>
                </c:pt>
                <c:pt idx="17">
                  <c:v>Türkiye</c:v>
                </c:pt>
                <c:pt idx="18">
                  <c:v>Slovenia</c:v>
                </c:pt>
                <c:pt idx="19">
                  <c:v>Belgium</c:v>
                </c:pt>
                <c:pt idx="20">
                  <c:v>United States</c:v>
                </c:pt>
                <c:pt idx="21">
                  <c:v>United Kingdom </c:v>
                </c:pt>
                <c:pt idx="22">
                  <c:v>Korea</c:v>
                </c:pt>
                <c:pt idx="23">
                  <c:v>Israel</c:v>
                </c:pt>
                <c:pt idx="24">
                  <c:v>Switzerland</c:v>
                </c:pt>
                <c:pt idx="25">
                  <c:v>Estonia</c:v>
                </c:pt>
                <c:pt idx="26">
                  <c:v>Denmark</c:v>
                </c:pt>
                <c:pt idx="27">
                  <c:v>France</c:v>
                </c:pt>
              </c:strCache>
            </c:strRef>
          </c:cat>
          <c:val>
            <c:numRef>
              <c:f>'HC1.4.2'!$AB$4:$AB$31</c:f>
              <c:numCache>
                <c:formatCode>0%</c:formatCode>
                <c:ptCount val="28"/>
                <c:pt idx="0">
                  <c:v>0.72978770732879639</c:v>
                </c:pt>
                <c:pt idx="1">
                  <c:v>0.63188159465789795</c:v>
                </c:pt>
                <c:pt idx="2">
                  <c:v>0.73290526866912842</c:v>
                </c:pt>
                <c:pt idx="3">
                  <c:v>0.55000227689743042</c:v>
                </c:pt>
                <c:pt idx="4">
                  <c:v>0.66770690679550171</c:v>
                </c:pt>
                <c:pt idx="5">
                  <c:v>0.34866315126419067</c:v>
                </c:pt>
                <c:pt idx="6">
                  <c:v>0.43602582812309265</c:v>
                </c:pt>
                <c:pt idx="7">
                  <c:v>0.44845449924468994</c:v>
                </c:pt>
                <c:pt idx="8">
                  <c:v>0.30925780534744263</c:v>
                </c:pt>
                <c:pt idx="9">
                  <c:v>0.45676538348197937</c:v>
                </c:pt>
                <c:pt idx="10">
                  <c:v>0.56350475549697876</c:v>
                </c:pt>
                <c:pt idx="11">
                  <c:v>0.42718091607093811</c:v>
                </c:pt>
                <c:pt idx="12">
                  <c:v>0.41582915186882019</c:v>
                </c:pt>
                <c:pt idx="13">
                  <c:v>0.4608857559937018</c:v>
                </c:pt>
                <c:pt idx="14">
                  <c:v>0.41795364022254944</c:v>
                </c:pt>
                <c:pt idx="15">
                  <c:v>0.35555648803710938</c:v>
                </c:pt>
                <c:pt idx="16">
                  <c:v>0.4081445038318634</c:v>
                </c:pt>
                <c:pt idx="17">
                  <c:v>0.62999868392944336</c:v>
                </c:pt>
                <c:pt idx="18">
                  <c:v>0.38742169737815857</c:v>
                </c:pt>
                <c:pt idx="19">
                  <c:v>0.23940621316432953</c:v>
                </c:pt>
                <c:pt idx="20">
                  <c:v>0.47888535261154175</c:v>
                </c:pt>
                <c:pt idx="21">
                  <c:v>0.38756364583969116</c:v>
                </c:pt>
                <c:pt idx="22">
                  <c:v>0.41563770174980164</c:v>
                </c:pt>
                <c:pt idx="23">
                  <c:v>0.44889345765113831</c:v>
                </c:pt>
                <c:pt idx="24">
                  <c:v>0.44752708077430725</c:v>
                </c:pt>
                <c:pt idx="25">
                  <c:v>0.48341125249862671</c:v>
                </c:pt>
                <c:pt idx="26">
                  <c:v>0.24790495634078979</c:v>
                </c:pt>
                <c:pt idx="27">
                  <c:v>0.37764549255371094</c:v>
                </c:pt>
              </c:numCache>
            </c:numRef>
          </c:val>
          <c:smooth val="0"/>
          <c:extLst>
            <c:ext xmlns:c16="http://schemas.microsoft.com/office/drawing/2014/chart" uri="{C3380CC4-5D6E-409C-BE32-E72D297353CC}">
              <c16:uniqueId val="{0000000B-9729-4CFD-A9E5-0A625F784D0D}"/>
            </c:ext>
          </c:extLst>
        </c:ser>
        <c:dLbls>
          <c:showLegendKey val="0"/>
          <c:showVal val="0"/>
          <c:showCatName val="0"/>
          <c:showSerName val="0"/>
          <c:showPercent val="0"/>
          <c:showBubbleSize val="0"/>
        </c:dLbls>
        <c:marker val="1"/>
        <c:smooth val="0"/>
        <c:axId val="808191872"/>
        <c:axId val="1947782480"/>
      </c:lineChart>
      <c:catAx>
        <c:axId val="808191872"/>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947782480"/>
        <c:crosses val="autoZero"/>
        <c:auto val="1"/>
        <c:lblAlgn val="ctr"/>
        <c:lblOffset val="0"/>
        <c:tickLblSkip val="1"/>
        <c:noMultiLvlLbl val="0"/>
      </c:catAx>
      <c:valAx>
        <c:axId val="1947782480"/>
        <c:scaling>
          <c:orientation val="minMax"/>
        </c:scaling>
        <c:delete val="0"/>
        <c:axPos val="l"/>
        <c:majorGridlines>
          <c:spPr>
            <a:ln w="9525" cap="flat" cmpd="sng" algn="ctr">
              <a:solidFill>
                <a:srgbClr val="FFFFFF"/>
              </a:solidFill>
              <a:prstDash val="solid"/>
              <a:round/>
            </a:ln>
            <a:effectLst/>
          </c:spPr>
        </c:majorGridlines>
        <c:numFmt formatCode="0%"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808191872"/>
        <c:crosses val="autoZero"/>
        <c:crossBetween val="between"/>
      </c:valAx>
      <c:spPr>
        <a:solidFill>
          <a:srgbClr val="EAEAEA"/>
        </a:solidFill>
        <a:ln>
          <a:noFill/>
        </a:ln>
        <a:effectLst/>
        <a:extLst>
          <a:ext uri="{91240B29-F687-4F45-9708-019B960494DF}">
            <a14:hiddenLine xmlns:a14="http://schemas.microsoft.com/office/drawing/2010/main">
              <a:noFill/>
            </a14:hiddenLine>
          </a:ext>
        </a:extLst>
      </c:spPr>
    </c:plotArea>
    <c:legend>
      <c:legendPos val="t"/>
      <c:layout>
        <c:manualLayout>
          <c:xMode val="edge"/>
          <c:yMode val="edge"/>
          <c:x val="3.8288645784712937E-2"/>
          <c:y val="2.4819796941394013E-2"/>
          <c:w val="0.9421274050744991"/>
          <c:h val="7.4425022747490549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orientation="portrait"/>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8209444502058773E-2"/>
          <c:y val="5.0531794975278502E-2"/>
          <c:w val="0.91806245260765729"/>
          <c:h val="0.75582187806524048"/>
        </c:manualLayout>
      </c:layout>
      <c:barChart>
        <c:barDir val="col"/>
        <c:grouping val="clustered"/>
        <c:varyColors val="0"/>
        <c:ser>
          <c:idx val="2"/>
          <c:order val="0"/>
          <c:tx>
            <c:strRef>
              <c:f>'HC1.4.3'!$O$2</c:f>
              <c:strCache>
                <c:ptCount val="1"/>
              </c:strCache>
            </c:strRef>
          </c:tx>
          <c:spPr>
            <a:solidFill>
              <a:srgbClr val="002F6C"/>
            </a:solidFill>
            <a:ln w="9525">
              <a:solidFill>
                <a:srgbClr val="000000"/>
              </a:solidFill>
            </a:ln>
            <a:effectLst/>
          </c:spPr>
          <c:invertIfNegative val="0"/>
          <c:dPt>
            <c:idx val="8"/>
            <c:invertIfNegative val="0"/>
            <c:bubble3D val="0"/>
            <c:extLst>
              <c:ext xmlns:c16="http://schemas.microsoft.com/office/drawing/2014/chart" uri="{C3380CC4-5D6E-409C-BE32-E72D297353CC}">
                <c16:uniqueId val="{0000000D-8929-427D-8AD3-1ED88B9D05B6}"/>
              </c:ext>
            </c:extLst>
          </c:dPt>
          <c:dPt>
            <c:idx val="9"/>
            <c:invertIfNegative val="0"/>
            <c:bubble3D val="0"/>
            <c:extLst>
              <c:ext xmlns:c16="http://schemas.microsoft.com/office/drawing/2014/chart" uri="{C3380CC4-5D6E-409C-BE32-E72D297353CC}">
                <c16:uniqueId val="{0000000E-8929-427D-8AD3-1ED88B9D05B6}"/>
              </c:ext>
            </c:extLst>
          </c:dPt>
          <c:dPt>
            <c:idx val="12"/>
            <c:invertIfNegative val="0"/>
            <c:bubble3D val="0"/>
            <c:spPr>
              <a:solidFill>
                <a:srgbClr val="D72B00"/>
              </a:solidFill>
              <a:ln w="9525">
                <a:solidFill>
                  <a:srgbClr val="000000"/>
                </a:solidFill>
              </a:ln>
              <a:effectLst/>
            </c:spPr>
            <c:extLst>
              <c:ext xmlns:c16="http://schemas.microsoft.com/office/drawing/2014/chart" uri="{C3380CC4-5D6E-409C-BE32-E72D297353CC}">
                <c16:uniqueId val="{00000000-0767-4E7A-8891-60E764B5CA12}"/>
              </c:ext>
            </c:extLst>
          </c:dPt>
          <c:dPt>
            <c:idx val="13"/>
            <c:invertIfNegative val="0"/>
            <c:bubble3D val="0"/>
            <c:spPr>
              <a:solidFill>
                <a:srgbClr val="D72B00"/>
              </a:solidFill>
              <a:ln w="9525">
                <a:solidFill>
                  <a:srgbClr val="000000"/>
                </a:solidFill>
              </a:ln>
              <a:effectLst/>
            </c:spPr>
            <c:extLst>
              <c:ext xmlns:c16="http://schemas.microsoft.com/office/drawing/2014/chart" uri="{C3380CC4-5D6E-409C-BE32-E72D297353CC}">
                <c16:uniqueId val="{00000001-0767-4E7A-8891-60E764B5CA12}"/>
              </c:ext>
            </c:extLst>
          </c:dPt>
          <c:dPt>
            <c:idx val="14"/>
            <c:invertIfNegative val="0"/>
            <c:bubble3D val="0"/>
            <c:extLst>
              <c:ext xmlns:c16="http://schemas.microsoft.com/office/drawing/2014/chart" uri="{C3380CC4-5D6E-409C-BE32-E72D297353CC}">
                <c16:uniqueId val="{00000002-0767-4E7A-8891-60E764B5CA12}"/>
              </c:ext>
            </c:extLst>
          </c:dPt>
          <c:dPt>
            <c:idx val="17"/>
            <c:invertIfNegative val="0"/>
            <c:bubble3D val="0"/>
            <c:extLst>
              <c:ext xmlns:c16="http://schemas.microsoft.com/office/drawing/2014/chart" uri="{C3380CC4-5D6E-409C-BE32-E72D297353CC}">
                <c16:uniqueId val="{00000004-0767-4E7A-8891-60E764B5CA12}"/>
              </c:ext>
            </c:extLst>
          </c:dPt>
          <c:dPt>
            <c:idx val="18"/>
            <c:invertIfNegative val="0"/>
            <c:bubble3D val="0"/>
            <c:extLst>
              <c:ext xmlns:c16="http://schemas.microsoft.com/office/drawing/2014/chart" uri="{C3380CC4-5D6E-409C-BE32-E72D297353CC}">
                <c16:uniqueId val="{00000006-0767-4E7A-8891-60E764B5CA12}"/>
              </c:ext>
            </c:extLst>
          </c:dPt>
          <c:dPt>
            <c:idx val="19"/>
            <c:invertIfNegative val="0"/>
            <c:bubble3D val="0"/>
            <c:extLst>
              <c:ext xmlns:c16="http://schemas.microsoft.com/office/drawing/2014/chart" uri="{C3380CC4-5D6E-409C-BE32-E72D297353CC}">
                <c16:uniqueId val="{00000007-0767-4E7A-8891-60E764B5CA12}"/>
              </c:ext>
            </c:extLst>
          </c:dPt>
          <c:dPt>
            <c:idx val="20"/>
            <c:invertIfNegative val="0"/>
            <c:bubble3D val="0"/>
            <c:extLst>
              <c:ext xmlns:c16="http://schemas.microsoft.com/office/drawing/2014/chart" uri="{C3380CC4-5D6E-409C-BE32-E72D297353CC}">
                <c16:uniqueId val="{00000008-0767-4E7A-8891-60E764B5CA12}"/>
              </c:ext>
            </c:extLst>
          </c:dPt>
          <c:dPt>
            <c:idx val="21"/>
            <c:invertIfNegative val="0"/>
            <c:bubble3D val="0"/>
            <c:extLst>
              <c:ext xmlns:c16="http://schemas.microsoft.com/office/drawing/2014/chart" uri="{C3380CC4-5D6E-409C-BE32-E72D297353CC}">
                <c16:uniqueId val="{00000009-0767-4E7A-8891-60E764B5CA12}"/>
              </c:ext>
            </c:extLst>
          </c:dPt>
          <c:dPt>
            <c:idx val="24"/>
            <c:invertIfNegative val="0"/>
            <c:bubble3D val="0"/>
            <c:extLst>
              <c:ext xmlns:c16="http://schemas.microsoft.com/office/drawing/2014/chart" uri="{C3380CC4-5D6E-409C-BE32-E72D297353CC}">
                <c16:uniqueId val="{0000000A-0767-4E7A-8891-60E764B5CA12}"/>
              </c:ext>
            </c:extLst>
          </c:dPt>
          <c:dPt>
            <c:idx val="25"/>
            <c:invertIfNegative val="0"/>
            <c:bubble3D val="0"/>
            <c:spPr>
              <a:pattFill prst="wdUpDiag">
                <a:fgClr>
                  <a:srgbClr val="002F6C"/>
                </a:fgClr>
                <a:bgClr>
                  <a:sysClr val="window" lastClr="FFFFFF"/>
                </a:bgClr>
              </a:pattFill>
              <a:ln w="9525">
                <a:solidFill>
                  <a:srgbClr val="000000"/>
                </a:solidFill>
              </a:ln>
              <a:effectLst/>
            </c:spPr>
            <c:extLst>
              <c:ext xmlns:c16="http://schemas.microsoft.com/office/drawing/2014/chart" uri="{C3380CC4-5D6E-409C-BE32-E72D297353CC}">
                <c16:uniqueId val="{00000010-2D1E-4350-9F58-88F80B8D5D4C}"/>
              </c:ext>
            </c:extLst>
          </c:dPt>
          <c:dPt>
            <c:idx val="26"/>
            <c:invertIfNegative val="0"/>
            <c:bubble3D val="0"/>
            <c:extLst>
              <c:ext xmlns:c16="http://schemas.microsoft.com/office/drawing/2014/chart" uri="{C3380CC4-5D6E-409C-BE32-E72D297353CC}">
                <c16:uniqueId val="{0000000B-0767-4E7A-8891-60E764B5CA12}"/>
              </c:ext>
            </c:extLst>
          </c:dPt>
          <c:dPt>
            <c:idx val="32"/>
            <c:invertIfNegative val="0"/>
            <c:bubble3D val="0"/>
            <c:extLst>
              <c:ext xmlns:c16="http://schemas.microsoft.com/office/drawing/2014/chart" uri="{C3380CC4-5D6E-409C-BE32-E72D297353CC}">
                <c16:uniqueId val="{0000000C-0767-4E7A-8891-60E764B5CA12}"/>
              </c:ext>
            </c:extLst>
          </c:dPt>
          <c:cat>
            <c:strRef>
              <c:f>'HC1.4.3'!$N$3:$N$32</c:f>
              <c:strCache>
                <c:ptCount val="30"/>
                <c:pt idx="0">
                  <c:v>Greece</c:v>
                </c:pt>
                <c:pt idx="1">
                  <c:v>Cyprus</c:v>
                </c:pt>
                <c:pt idx="2">
                  <c:v>Latvia</c:v>
                </c:pt>
                <c:pt idx="3">
                  <c:v>Estonia</c:v>
                </c:pt>
                <c:pt idx="4">
                  <c:v>Finland</c:v>
                </c:pt>
                <c:pt idx="5">
                  <c:v>Croatia</c:v>
                </c:pt>
                <c:pt idx="6">
                  <c:v>Italy</c:v>
                </c:pt>
                <c:pt idx="7">
                  <c:v>Slovenia</c:v>
                </c:pt>
                <c:pt idx="8">
                  <c:v>Romania</c:v>
                </c:pt>
                <c:pt idx="9">
                  <c:v>Poland</c:v>
                </c:pt>
                <c:pt idx="10">
                  <c:v>Spain</c:v>
                </c:pt>
                <c:pt idx="11">
                  <c:v>Netherlands</c:v>
                </c:pt>
                <c:pt idx="12">
                  <c:v>EU-27</c:v>
                </c:pt>
                <c:pt idx="13">
                  <c:v>OECD-23</c:v>
                </c:pt>
                <c:pt idx="14">
                  <c:v>Luxembourg</c:v>
                </c:pt>
                <c:pt idx="15">
                  <c:v>Slovak Republic</c:v>
                </c:pt>
                <c:pt idx="16">
                  <c:v>Ireland</c:v>
                </c:pt>
                <c:pt idx="17">
                  <c:v>Portugal</c:v>
                </c:pt>
                <c:pt idx="18">
                  <c:v>Sweden</c:v>
                </c:pt>
                <c:pt idx="19">
                  <c:v>Hungary</c:v>
                </c:pt>
                <c:pt idx="20">
                  <c:v>Belgium</c:v>
                </c:pt>
                <c:pt idx="21">
                  <c:v>France</c:v>
                </c:pt>
                <c:pt idx="22">
                  <c:v>Austria</c:v>
                </c:pt>
                <c:pt idx="23">
                  <c:v>Bulgaria</c:v>
                </c:pt>
                <c:pt idx="24">
                  <c:v>Malta</c:v>
                </c:pt>
                <c:pt idx="25">
                  <c:v>United States (2)</c:v>
                </c:pt>
                <c:pt idx="26">
                  <c:v>Lithuania</c:v>
                </c:pt>
                <c:pt idx="27">
                  <c:v>Czechia</c:v>
                </c:pt>
                <c:pt idx="28">
                  <c:v>Germany</c:v>
                </c:pt>
                <c:pt idx="29">
                  <c:v>Denmark</c:v>
                </c:pt>
              </c:strCache>
            </c:strRef>
          </c:cat>
          <c:val>
            <c:numRef>
              <c:f>'HC1.4.3'!$O$3:$O$32</c:f>
              <c:numCache>
                <c:formatCode>0%</c:formatCode>
                <c:ptCount val="30"/>
                <c:pt idx="0">
                  <c:v>0.21</c:v>
                </c:pt>
                <c:pt idx="1">
                  <c:v>0.18</c:v>
                </c:pt>
                <c:pt idx="2">
                  <c:v>0.15</c:v>
                </c:pt>
                <c:pt idx="3">
                  <c:v>0.15</c:v>
                </c:pt>
                <c:pt idx="4">
                  <c:v>0.15</c:v>
                </c:pt>
                <c:pt idx="5">
                  <c:v>0.14000000000000001</c:v>
                </c:pt>
                <c:pt idx="6">
                  <c:v>0.14000000000000001</c:v>
                </c:pt>
                <c:pt idx="7">
                  <c:v>0.12</c:v>
                </c:pt>
                <c:pt idx="8">
                  <c:v>0.12</c:v>
                </c:pt>
                <c:pt idx="9">
                  <c:v>0.11</c:v>
                </c:pt>
                <c:pt idx="10">
                  <c:v>0.11</c:v>
                </c:pt>
                <c:pt idx="11">
                  <c:v>0.11</c:v>
                </c:pt>
                <c:pt idx="12">
                  <c:v>0.1</c:v>
                </c:pt>
                <c:pt idx="13">
                  <c:v>0.10337828698375413</c:v>
                </c:pt>
                <c:pt idx="14">
                  <c:v>0.1</c:v>
                </c:pt>
                <c:pt idx="15">
                  <c:v>0.09</c:v>
                </c:pt>
                <c:pt idx="16">
                  <c:v>0.09</c:v>
                </c:pt>
                <c:pt idx="17">
                  <c:v>0.09</c:v>
                </c:pt>
                <c:pt idx="18">
                  <c:v>0.09</c:v>
                </c:pt>
                <c:pt idx="19">
                  <c:v>0.09</c:v>
                </c:pt>
                <c:pt idx="20">
                  <c:v>0.09</c:v>
                </c:pt>
                <c:pt idx="21">
                  <c:v>0.08</c:v>
                </c:pt>
                <c:pt idx="22">
                  <c:v>0.08</c:v>
                </c:pt>
                <c:pt idx="23">
                  <c:v>7.0000000000000007E-2</c:v>
                </c:pt>
                <c:pt idx="24">
                  <c:v>7.0000000000000007E-2</c:v>
                </c:pt>
                <c:pt idx="25">
                  <c:v>6.7565739675081976E-2</c:v>
                </c:pt>
                <c:pt idx="26">
                  <c:v>0.06</c:v>
                </c:pt>
                <c:pt idx="27">
                  <c:v>0.06</c:v>
                </c:pt>
                <c:pt idx="28">
                  <c:v>0.05</c:v>
                </c:pt>
                <c:pt idx="29">
                  <c:v>0.03</c:v>
                </c:pt>
              </c:numCache>
            </c:numRef>
          </c:val>
          <c:extLst>
            <c:ext xmlns:c16="http://schemas.microsoft.com/office/drawing/2014/chart" uri="{C3380CC4-5D6E-409C-BE32-E72D297353CC}">
              <c16:uniqueId val="{0000000D-0767-4E7A-8891-60E764B5CA12}"/>
            </c:ext>
          </c:extLst>
        </c:ser>
        <c:dLbls>
          <c:showLegendKey val="0"/>
          <c:showVal val="0"/>
          <c:showCatName val="0"/>
          <c:showSerName val="0"/>
          <c:showPercent val="0"/>
          <c:showBubbleSize val="0"/>
        </c:dLbls>
        <c:gapWidth val="150"/>
        <c:axId val="95221248"/>
        <c:axId val="95223168"/>
      </c:barChart>
      <c:catAx>
        <c:axId val="95221248"/>
        <c:scaling>
          <c:orientation val="minMax"/>
        </c:scaling>
        <c:delete val="0"/>
        <c:axPos val="b"/>
        <c:majorGridlines>
          <c:spPr>
            <a:ln w="9525" cmpd="sng">
              <a:solidFill>
                <a:sysClr val="window" lastClr="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280000" vert="horz"/>
          <a:lstStyle/>
          <a:p>
            <a:pPr>
              <a:defRPr sz="750" b="0" i="0" u="none" strike="noStrike" baseline="0">
                <a:solidFill>
                  <a:srgbClr val="000000"/>
                </a:solidFill>
                <a:latin typeface="Arial Narrow"/>
                <a:ea typeface="Arial Narrow"/>
                <a:cs typeface="Arial Narrow"/>
              </a:defRPr>
            </a:pPr>
            <a:endParaRPr lang="en-US"/>
          </a:p>
        </c:txPr>
        <c:crossAx val="95223168"/>
        <c:crosses val="autoZero"/>
        <c:auto val="1"/>
        <c:lblAlgn val="ctr"/>
        <c:lblOffset val="0"/>
        <c:tickLblSkip val="1"/>
        <c:noMultiLvlLbl val="0"/>
      </c:catAx>
      <c:valAx>
        <c:axId val="95223168"/>
        <c:scaling>
          <c:orientation val="minMax"/>
        </c:scaling>
        <c:delete val="0"/>
        <c:axPos val="l"/>
        <c:majorGridlines>
          <c:spPr>
            <a:ln w="9525" cmpd="sng">
              <a:solidFill>
                <a:sysClr val="window" lastClr="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95221248"/>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2666729077662474E-2"/>
          <c:y val="5.3600542801121462E-2"/>
          <c:w val="0.9535180192774072"/>
          <c:h val="0.77996192418156218"/>
        </c:manualLayout>
      </c:layout>
      <c:barChart>
        <c:barDir val="col"/>
        <c:grouping val="clustered"/>
        <c:varyColors val="0"/>
        <c:ser>
          <c:idx val="2"/>
          <c:order val="0"/>
          <c:tx>
            <c:strRef>
              <c:f>'HC1.4.4'!$O$2</c:f>
              <c:strCache>
                <c:ptCount val="1"/>
              </c:strCache>
            </c:strRef>
          </c:tx>
          <c:spPr>
            <a:solidFill>
              <a:srgbClr val="002F6C"/>
            </a:solidFill>
            <a:ln w="9525">
              <a:solidFill>
                <a:srgbClr val="000000"/>
              </a:solidFill>
            </a:ln>
            <a:effectLst/>
          </c:spPr>
          <c:invertIfNegative val="0"/>
          <c:dPt>
            <c:idx val="0"/>
            <c:invertIfNegative val="0"/>
            <c:bubble3D val="0"/>
            <c:spPr>
              <a:pattFill prst="wdUpDiag">
                <a:fgClr>
                  <a:srgbClr val="002F6C"/>
                </a:fgClr>
                <a:bgClr>
                  <a:sysClr val="window" lastClr="FFFFFF"/>
                </a:bgClr>
              </a:pattFill>
              <a:ln w="9525">
                <a:solidFill>
                  <a:srgbClr val="000000"/>
                </a:solidFill>
              </a:ln>
              <a:effectLst/>
            </c:spPr>
            <c:extLst>
              <c:ext xmlns:c16="http://schemas.microsoft.com/office/drawing/2014/chart" uri="{C3380CC4-5D6E-409C-BE32-E72D297353CC}">
                <c16:uniqueId val="{00000013-9BC6-46D8-990B-892AA34A97A5}"/>
              </c:ext>
            </c:extLst>
          </c:dPt>
          <c:dPt>
            <c:idx val="6"/>
            <c:invertIfNegative val="0"/>
            <c:bubble3D val="0"/>
            <c:extLst>
              <c:ext xmlns:c16="http://schemas.microsoft.com/office/drawing/2014/chart" uri="{C3380CC4-5D6E-409C-BE32-E72D297353CC}">
                <c16:uniqueId val="{00000001-5FE0-4F5F-A8C9-892BE955121D}"/>
              </c:ext>
            </c:extLst>
          </c:dPt>
          <c:dPt>
            <c:idx val="8"/>
            <c:invertIfNegative val="0"/>
            <c:bubble3D val="0"/>
            <c:extLst>
              <c:ext xmlns:c16="http://schemas.microsoft.com/office/drawing/2014/chart" uri="{C3380CC4-5D6E-409C-BE32-E72D297353CC}">
                <c16:uniqueId val="{00000002-5FE0-4F5F-A8C9-892BE955121D}"/>
              </c:ext>
            </c:extLst>
          </c:dPt>
          <c:dPt>
            <c:idx val="9"/>
            <c:invertIfNegative val="0"/>
            <c:bubble3D val="0"/>
            <c:extLst>
              <c:ext xmlns:c16="http://schemas.microsoft.com/office/drawing/2014/chart" uri="{C3380CC4-5D6E-409C-BE32-E72D297353CC}">
                <c16:uniqueId val="{0000000E-9285-4D82-AA91-45325AD81EFD}"/>
              </c:ext>
            </c:extLst>
          </c:dPt>
          <c:dPt>
            <c:idx val="10"/>
            <c:invertIfNegative val="0"/>
            <c:bubble3D val="0"/>
            <c:spPr>
              <a:solidFill>
                <a:srgbClr val="D72B00"/>
              </a:solidFill>
              <a:ln w="9525">
                <a:solidFill>
                  <a:srgbClr val="000000"/>
                </a:solidFill>
              </a:ln>
              <a:effectLst/>
            </c:spPr>
            <c:extLst>
              <c:ext xmlns:c16="http://schemas.microsoft.com/office/drawing/2014/chart" uri="{C3380CC4-5D6E-409C-BE32-E72D297353CC}">
                <c16:uniqueId val="{00000010-C9FD-403B-BEE2-ADF0517D2031}"/>
              </c:ext>
            </c:extLst>
          </c:dPt>
          <c:dPt>
            <c:idx val="11"/>
            <c:invertIfNegative val="0"/>
            <c:bubble3D val="0"/>
            <c:extLst>
              <c:ext xmlns:c16="http://schemas.microsoft.com/office/drawing/2014/chart" uri="{C3380CC4-5D6E-409C-BE32-E72D297353CC}">
                <c16:uniqueId val="{00000011-0106-4D94-8D20-842760D45817}"/>
              </c:ext>
            </c:extLst>
          </c:dPt>
          <c:dPt>
            <c:idx val="12"/>
            <c:invertIfNegative val="0"/>
            <c:bubble3D val="0"/>
            <c:spPr>
              <a:solidFill>
                <a:srgbClr val="D72B00"/>
              </a:solidFill>
              <a:ln w="9525">
                <a:solidFill>
                  <a:srgbClr val="000000"/>
                </a:solidFill>
              </a:ln>
              <a:effectLst/>
            </c:spPr>
            <c:extLst>
              <c:ext xmlns:c16="http://schemas.microsoft.com/office/drawing/2014/chart" uri="{C3380CC4-5D6E-409C-BE32-E72D297353CC}">
                <c16:uniqueId val="{00000003-5FE0-4F5F-A8C9-892BE955121D}"/>
              </c:ext>
            </c:extLst>
          </c:dPt>
          <c:dPt>
            <c:idx val="14"/>
            <c:invertIfNegative val="0"/>
            <c:bubble3D val="0"/>
            <c:extLst>
              <c:ext xmlns:c16="http://schemas.microsoft.com/office/drawing/2014/chart" uri="{C3380CC4-5D6E-409C-BE32-E72D297353CC}">
                <c16:uniqueId val="{00000005-5FE0-4F5F-A8C9-892BE955121D}"/>
              </c:ext>
            </c:extLst>
          </c:dPt>
          <c:dPt>
            <c:idx val="15"/>
            <c:invertIfNegative val="0"/>
            <c:bubble3D val="0"/>
            <c:extLst>
              <c:ext xmlns:c16="http://schemas.microsoft.com/office/drawing/2014/chart" uri="{C3380CC4-5D6E-409C-BE32-E72D297353CC}">
                <c16:uniqueId val="{0000000F-C9FD-403B-BEE2-ADF0517D2031}"/>
              </c:ext>
            </c:extLst>
          </c:dPt>
          <c:dPt>
            <c:idx val="16"/>
            <c:invertIfNegative val="0"/>
            <c:bubble3D val="0"/>
            <c:extLst>
              <c:ext xmlns:c16="http://schemas.microsoft.com/office/drawing/2014/chart" uri="{C3380CC4-5D6E-409C-BE32-E72D297353CC}">
                <c16:uniqueId val="{0000000D-9285-4D82-AA91-45325AD81EFD}"/>
              </c:ext>
            </c:extLst>
          </c:dPt>
          <c:dPt>
            <c:idx val="17"/>
            <c:invertIfNegative val="0"/>
            <c:bubble3D val="0"/>
            <c:extLst>
              <c:ext xmlns:c16="http://schemas.microsoft.com/office/drawing/2014/chart" uri="{C3380CC4-5D6E-409C-BE32-E72D297353CC}">
                <c16:uniqueId val="{00000006-5FE0-4F5F-A8C9-892BE955121D}"/>
              </c:ext>
            </c:extLst>
          </c:dPt>
          <c:dPt>
            <c:idx val="19"/>
            <c:invertIfNegative val="0"/>
            <c:bubble3D val="0"/>
            <c:extLst>
              <c:ext xmlns:c16="http://schemas.microsoft.com/office/drawing/2014/chart" uri="{C3380CC4-5D6E-409C-BE32-E72D297353CC}">
                <c16:uniqueId val="{00000007-5FE0-4F5F-A8C9-892BE955121D}"/>
              </c:ext>
            </c:extLst>
          </c:dPt>
          <c:dPt>
            <c:idx val="20"/>
            <c:invertIfNegative val="0"/>
            <c:bubble3D val="0"/>
            <c:extLst>
              <c:ext xmlns:c16="http://schemas.microsoft.com/office/drawing/2014/chart" uri="{C3380CC4-5D6E-409C-BE32-E72D297353CC}">
                <c16:uniqueId val="{00000008-5FE0-4F5F-A8C9-892BE955121D}"/>
              </c:ext>
            </c:extLst>
          </c:dPt>
          <c:dPt>
            <c:idx val="21"/>
            <c:invertIfNegative val="0"/>
            <c:bubble3D val="0"/>
            <c:extLst>
              <c:ext xmlns:c16="http://schemas.microsoft.com/office/drawing/2014/chart" uri="{C3380CC4-5D6E-409C-BE32-E72D297353CC}">
                <c16:uniqueId val="{00000009-5FE0-4F5F-A8C9-892BE955121D}"/>
              </c:ext>
            </c:extLst>
          </c:dPt>
          <c:dPt>
            <c:idx val="24"/>
            <c:invertIfNegative val="0"/>
            <c:bubble3D val="0"/>
            <c:extLst>
              <c:ext xmlns:c16="http://schemas.microsoft.com/office/drawing/2014/chart" uri="{C3380CC4-5D6E-409C-BE32-E72D297353CC}">
                <c16:uniqueId val="{0000000A-5FE0-4F5F-A8C9-892BE955121D}"/>
              </c:ext>
            </c:extLst>
          </c:dPt>
          <c:dPt>
            <c:idx val="26"/>
            <c:invertIfNegative val="0"/>
            <c:bubble3D val="0"/>
            <c:extLst>
              <c:ext xmlns:c16="http://schemas.microsoft.com/office/drawing/2014/chart" uri="{C3380CC4-5D6E-409C-BE32-E72D297353CC}">
                <c16:uniqueId val="{0000000B-5FE0-4F5F-A8C9-892BE955121D}"/>
              </c:ext>
            </c:extLst>
          </c:dPt>
          <c:dPt>
            <c:idx val="32"/>
            <c:invertIfNegative val="0"/>
            <c:bubble3D val="0"/>
            <c:extLst>
              <c:ext xmlns:c16="http://schemas.microsoft.com/office/drawing/2014/chart" uri="{C3380CC4-5D6E-409C-BE32-E72D297353CC}">
                <c16:uniqueId val="{0000000C-5FE0-4F5F-A8C9-892BE955121D}"/>
              </c:ext>
            </c:extLst>
          </c:dPt>
          <c:cat>
            <c:strRef>
              <c:f>'HC1.4.4'!$N$3:$N$32</c:f>
              <c:strCache>
                <c:ptCount val="30"/>
                <c:pt idx="0">
                  <c:v>United States (2)</c:v>
                </c:pt>
                <c:pt idx="1">
                  <c:v>Finland</c:v>
                </c:pt>
                <c:pt idx="2">
                  <c:v>Latvia</c:v>
                </c:pt>
                <c:pt idx="3">
                  <c:v>Cyprus</c:v>
                </c:pt>
                <c:pt idx="4">
                  <c:v>Greece</c:v>
                </c:pt>
                <c:pt idx="5">
                  <c:v>Sweden</c:v>
                </c:pt>
                <c:pt idx="6">
                  <c:v>Estonia</c:v>
                </c:pt>
                <c:pt idx="7">
                  <c:v>Portugal</c:v>
                </c:pt>
                <c:pt idx="8">
                  <c:v>Denmark</c:v>
                </c:pt>
                <c:pt idx="9">
                  <c:v>Poland</c:v>
                </c:pt>
                <c:pt idx="10">
                  <c:v>OECD-23</c:v>
                </c:pt>
                <c:pt idx="11">
                  <c:v>Spain</c:v>
                </c:pt>
                <c:pt idx="12">
                  <c:v>EU-27</c:v>
                </c:pt>
                <c:pt idx="13">
                  <c:v>Slovak Republic</c:v>
                </c:pt>
                <c:pt idx="14">
                  <c:v>France</c:v>
                </c:pt>
                <c:pt idx="15">
                  <c:v>Ireland</c:v>
                </c:pt>
                <c:pt idx="16">
                  <c:v>Italy</c:v>
                </c:pt>
                <c:pt idx="17">
                  <c:v>Slovenia</c:v>
                </c:pt>
                <c:pt idx="18">
                  <c:v>Luxembourg</c:v>
                </c:pt>
                <c:pt idx="19">
                  <c:v>Croatia</c:v>
                </c:pt>
                <c:pt idx="20">
                  <c:v>Bulgaria</c:v>
                </c:pt>
                <c:pt idx="21">
                  <c:v>Austria</c:v>
                </c:pt>
                <c:pt idx="22">
                  <c:v>Lithuania</c:v>
                </c:pt>
                <c:pt idx="23">
                  <c:v>Romania</c:v>
                </c:pt>
                <c:pt idx="24">
                  <c:v>Germany</c:v>
                </c:pt>
                <c:pt idx="25">
                  <c:v>Belgium</c:v>
                </c:pt>
                <c:pt idx="26">
                  <c:v>Netherlands</c:v>
                </c:pt>
                <c:pt idx="27">
                  <c:v>Malta</c:v>
                </c:pt>
                <c:pt idx="28">
                  <c:v>Czechia</c:v>
                </c:pt>
                <c:pt idx="29">
                  <c:v>Hungary</c:v>
                </c:pt>
              </c:strCache>
            </c:strRef>
          </c:cat>
          <c:val>
            <c:numRef>
              <c:f>'HC1.4.4'!$O$3:$O$32</c:f>
              <c:numCache>
                <c:formatCode>0%</c:formatCode>
                <c:ptCount val="30"/>
                <c:pt idx="0">
                  <c:v>0.28238889870135087</c:v>
                </c:pt>
                <c:pt idx="1">
                  <c:v>0.13</c:v>
                </c:pt>
                <c:pt idx="2">
                  <c:v>0.12</c:v>
                </c:pt>
                <c:pt idx="3">
                  <c:v>0.1</c:v>
                </c:pt>
                <c:pt idx="4">
                  <c:v>0.1</c:v>
                </c:pt>
                <c:pt idx="5">
                  <c:v>0.1</c:v>
                </c:pt>
                <c:pt idx="6">
                  <c:v>0.1</c:v>
                </c:pt>
                <c:pt idx="7">
                  <c:v>0.09</c:v>
                </c:pt>
                <c:pt idx="8">
                  <c:v>0.09</c:v>
                </c:pt>
                <c:pt idx="9">
                  <c:v>0.09</c:v>
                </c:pt>
                <c:pt idx="10">
                  <c:v>0.08</c:v>
                </c:pt>
                <c:pt idx="11">
                  <c:v>0.08</c:v>
                </c:pt>
                <c:pt idx="12">
                  <c:v>7.0000000000000007E-2</c:v>
                </c:pt>
                <c:pt idx="13">
                  <c:v>7.0000000000000007E-2</c:v>
                </c:pt>
                <c:pt idx="14">
                  <c:v>7.0000000000000007E-2</c:v>
                </c:pt>
                <c:pt idx="15">
                  <c:v>7.0000000000000007E-2</c:v>
                </c:pt>
                <c:pt idx="16">
                  <c:v>7.0000000000000007E-2</c:v>
                </c:pt>
                <c:pt idx="17">
                  <c:v>7.0000000000000007E-2</c:v>
                </c:pt>
                <c:pt idx="18">
                  <c:v>7.0000000000000007E-2</c:v>
                </c:pt>
                <c:pt idx="19">
                  <c:v>0.06</c:v>
                </c:pt>
                <c:pt idx="20">
                  <c:v>0.06</c:v>
                </c:pt>
                <c:pt idx="21">
                  <c:v>0.06</c:v>
                </c:pt>
                <c:pt idx="22">
                  <c:v>0.05</c:v>
                </c:pt>
                <c:pt idx="23">
                  <c:v>0.05</c:v>
                </c:pt>
                <c:pt idx="24">
                  <c:v>0.05</c:v>
                </c:pt>
                <c:pt idx="25">
                  <c:v>0.05</c:v>
                </c:pt>
                <c:pt idx="26">
                  <c:v>0.05</c:v>
                </c:pt>
                <c:pt idx="27">
                  <c:v>0.05</c:v>
                </c:pt>
                <c:pt idx="28">
                  <c:v>0.04</c:v>
                </c:pt>
                <c:pt idx="29">
                  <c:v>0.04</c:v>
                </c:pt>
              </c:numCache>
            </c:numRef>
          </c:val>
          <c:extLst>
            <c:ext xmlns:c16="http://schemas.microsoft.com/office/drawing/2014/chart" uri="{C3380CC4-5D6E-409C-BE32-E72D297353CC}">
              <c16:uniqueId val="{0000000D-5FE0-4F5F-A8C9-892BE955121D}"/>
            </c:ext>
          </c:extLst>
        </c:ser>
        <c:dLbls>
          <c:showLegendKey val="0"/>
          <c:showVal val="0"/>
          <c:showCatName val="0"/>
          <c:showSerName val="0"/>
          <c:showPercent val="0"/>
          <c:showBubbleSize val="0"/>
        </c:dLbls>
        <c:gapWidth val="150"/>
        <c:axId val="95221248"/>
        <c:axId val="95223168"/>
      </c:barChart>
      <c:catAx>
        <c:axId val="95221248"/>
        <c:scaling>
          <c:orientation val="minMax"/>
        </c:scaling>
        <c:delete val="0"/>
        <c:axPos val="b"/>
        <c:majorGridlines>
          <c:spPr>
            <a:ln w="9525" cmpd="sng">
              <a:solidFill>
                <a:sysClr val="window" lastClr="FFFFFF">
                  <a:lumMod val="95000"/>
                </a:sysClr>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100000" vert="horz"/>
          <a:lstStyle/>
          <a:p>
            <a:pPr>
              <a:defRPr sz="750" b="0" i="0" u="none" strike="noStrike" baseline="0">
                <a:solidFill>
                  <a:srgbClr val="000000"/>
                </a:solidFill>
                <a:latin typeface="Arial Narrow"/>
                <a:ea typeface="Arial Narrow"/>
                <a:cs typeface="Arial Narrow"/>
              </a:defRPr>
            </a:pPr>
            <a:endParaRPr lang="en-US"/>
          </a:p>
        </c:txPr>
        <c:crossAx val="95223168"/>
        <c:crosses val="autoZero"/>
        <c:auto val="1"/>
        <c:lblAlgn val="ctr"/>
        <c:lblOffset val="0"/>
        <c:tickLblSkip val="1"/>
        <c:noMultiLvlLbl val="0"/>
      </c:catAx>
      <c:valAx>
        <c:axId val="95223168"/>
        <c:scaling>
          <c:orientation val="minMax"/>
        </c:scaling>
        <c:delete val="0"/>
        <c:axPos val="l"/>
        <c:majorGridlines>
          <c:spPr>
            <a:ln w="9525" cmpd="sng">
              <a:solidFill>
                <a:sysClr val="window" lastClr="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u="none" strike="noStrike" baseline="0">
                <a:solidFill>
                  <a:srgbClr val="000000"/>
                </a:solidFill>
                <a:latin typeface="Arial Narrow"/>
                <a:ea typeface="Arial Narrow"/>
                <a:cs typeface="Arial Narrow"/>
              </a:defRPr>
            </a:pPr>
            <a:endParaRPr lang="en-US"/>
          </a:p>
        </c:txPr>
        <c:crossAx val="95221248"/>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25504391694075E-3"/>
          <c:y val="1.9846672732664147E-2"/>
          <c:w val="0.98691174341245891"/>
          <c:h val="0.96526832271783769"/>
        </c:manualLayout>
      </c:layout>
      <c:barChart>
        <c:barDir val="col"/>
        <c:grouping val="clustered"/>
        <c:varyColors val="0"/>
        <c:ser>
          <c:idx val="0"/>
          <c:order val="0"/>
          <c:spPr>
            <a:solidFill>
              <a:srgbClr val="002F6C"/>
            </a:solidFill>
            <a:ln>
              <a:solidFill>
                <a:schemeClr val="tx1"/>
              </a:solidFill>
            </a:ln>
            <a:effectLst/>
          </c:spPr>
          <c:invertIfNegative val="0"/>
          <c:dPt>
            <c:idx val="10"/>
            <c:invertIfNegative val="0"/>
            <c:bubble3D val="0"/>
            <c:spPr>
              <a:solidFill>
                <a:srgbClr val="002F6C"/>
              </a:solidFill>
              <a:ln>
                <a:solidFill>
                  <a:schemeClr val="tx1"/>
                </a:solidFill>
              </a:ln>
              <a:effectLst/>
            </c:spPr>
            <c:extLst>
              <c:ext xmlns:c16="http://schemas.microsoft.com/office/drawing/2014/chart" uri="{C3380CC4-5D6E-409C-BE32-E72D297353CC}">
                <c16:uniqueId val="{00000001-5941-426D-9531-035474D23B34}"/>
              </c:ext>
            </c:extLst>
          </c:dPt>
          <c:dPt>
            <c:idx val="12"/>
            <c:invertIfNegative val="0"/>
            <c:bubble3D val="0"/>
            <c:spPr>
              <a:solidFill>
                <a:srgbClr val="D72B00"/>
              </a:solidFill>
              <a:ln>
                <a:solidFill>
                  <a:schemeClr val="tx1"/>
                </a:solidFill>
              </a:ln>
              <a:effectLst/>
            </c:spPr>
            <c:extLst>
              <c:ext xmlns:c16="http://schemas.microsoft.com/office/drawing/2014/chart" uri="{C3380CC4-5D6E-409C-BE32-E72D297353CC}">
                <c16:uniqueId val="{00000003-5941-426D-9531-035474D23B34}"/>
              </c:ext>
            </c:extLst>
          </c:dPt>
          <c:dPt>
            <c:idx val="13"/>
            <c:invertIfNegative val="0"/>
            <c:bubble3D val="0"/>
            <c:spPr>
              <a:solidFill>
                <a:srgbClr val="002F6C"/>
              </a:solidFill>
              <a:ln>
                <a:solidFill>
                  <a:schemeClr val="tx1"/>
                </a:solidFill>
              </a:ln>
              <a:effectLst/>
            </c:spPr>
            <c:extLst>
              <c:ext xmlns:c16="http://schemas.microsoft.com/office/drawing/2014/chart" uri="{C3380CC4-5D6E-409C-BE32-E72D297353CC}">
                <c16:uniqueId val="{00000005-5941-426D-9531-035474D23B34}"/>
              </c:ext>
            </c:extLst>
          </c:dPt>
          <c:cat>
            <c:strRef>
              <c:f>'HC1.4.5'!$M$3:$M$30</c:f>
              <c:strCache>
                <c:ptCount val="28"/>
                <c:pt idx="0">
                  <c:v>Mexico</c:v>
                </c:pt>
                <c:pt idx="1">
                  <c:v>Israel</c:v>
                </c:pt>
                <c:pt idx="2">
                  <c:v>Slovenia</c:v>
                </c:pt>
                <c:pt idx="3">
                  <c:v>Chile</c:v>
                </c:pt>
                <c:pt idx="4">
                  <c:v>United States</c:v>
                </c:pt>
                <c:pt idx="5">
                  <c:v>Portugal</c:v>
                </c:pt>
                <c:pt idx="6">
                  <c:v>Ireland</c:v>
                </c:pt>
                <c:pt idx="7">
                  <c:v>Spain</c:v>
                </c:pt>
                <c:pt idx="8">
                  <c:v>Canada</c:v>
                </c:pt>
                <c:pt idx="9">
                  <c:v>Finland</c:v>
                </c:pt>
                <c:pt idx="10">
                  <c:v>Greece</c:v>
                </c:pt>
                <c:pt idx="11">
                  <c:v>Türkiye</c:v>
                </c:pt>
                <c:pt idx="12">
                  <c:v>OECD - 27</c:v>
                </c:pt>
                <c:pt idx="13">
                  <c:v>Estonia</c:v>
                </c:pt>
                <c:pt idx="14">
                  <c:v>Korea</c:v>
                </c:pt>
                <c:pt idx="15">
                  <c:v>United Kingdom </c:v>
                </c:pt>
                <c:pt idx="16">
                  <c:v>Latvia</c:v>
                </c:pt>
                <c:pt idx="17">
                  <c:v>Poland</c:v>
                </c:pt>
                <c:pt idx="18">
                  <c:v>Norway</c:v>
                </c:pt>
                <c:pt idx="19">
                  <c:v>Austria</c:v>
                </c:pt>
                <c:pt idx="20">
                  <c:v>Switzerland</c:v>
                </c:pt>
                <c:pt idx="21">
                  <c:v>Germany</c:v>
                </c:pt>
                <c:pt idx="22">
                  <c:v>Netherlands</c:v>
                </c:pt>
                <c:pt idx="23">
                  <c:v>Lithuania</c:v>
                </c:pt>
                <c:pt idx="24">
                  <c:v>France</c:v>
                </c:pt>
                <c:pt idx="25">
                  <c:v>Denmark</c:v>
                </c:pt>
                <c:pt idx="26">
                  <c:v>Belgium</c:v>
                </c:pt>
                <c:pt idx="27">
                  <c:v>Italy</c:v>
                </c:pt>
              </c:strCache>
            </c:strRef>
          </c:cat>
          <c:val>
            <c:numRef>
              <c:f>'HC1.4.5'!$N$3:$N$30</c:f>
              <c:numCache>
                <c:formatCode>0%</c:formatCode>
                <c:ptCount val="28"/>
                <c:pt idx="0">
                  <c:v>0.31616157293319702</c:v>
                </c:pt>
                <c:pt idx="1">
                  <c:v>0.29925453662872314</c:v>
                </c:pt>
                <c:pt idx="2">
                  <c:v>0.29893743991851807</c:v>
                </c:pt>
                <c:pt idx="3">
                  <c:v>0.29810827970504761</c:v>
                </c:pt>
                <c:pt idx="4">
                  <c:v>0.29613220691680908</c:v>
                </c:pt>
                <c:pt idx="5">
                  <c:v>0.29206389188766479</c:v>
                </c:pt>
                <c:pt idx="6">
                  <c:v>0.2813357412815094</c:v>
                </c:pt>
                <c:pt idx="7">
                  <c:v>0.27818641066551208</c:v>
                </c:pt>
                <c:pt idx="8">
                  <c:v>0.25987783074378967</c:v>
                </c:pt>
                <c:pt idx="9">
                  <c:v>0.25985708832740784</c:v>
                </c:pt>
                <c:pt idx="10">
                  <c:v>0.24135515093803406</c:v>
                </c:pt>
                <c:pt idx="11">
                  <c:v>0.22503958642482758</c:v>
                </c:pt>
                <c:pt idx="12">
                  <c:v>0.22098361645583753</c:v>
                </c:pt>
                <c:pt idx="13">
                  <c:v>0.20843544602394104</c:v>
                </c:pt>
                <c:pt idx="14">
                  <c:v>0.20264603197574615</c:v>
                </c:pt>
                <c:pt idx="15">
                  <c:v>0.20092391967773438</c:v>
                </c:pt>
                <c:pt idx="16">
                  <c:v>0.1967351883649826</c:v>
                </c:pt>
                <c:pt idx="17">
                  <c:v>0.18954609334468842</c:v>
                </c:pt>
                <c:pt idx="18">
                  <c:v>0.18771179020404816</c:v>
                </c:pt>
                <c:pt idx="19">
                  <c:v>0.18514850735664368</c:v>
                </c:pt>
                <c:pt idx="20">
                  <c:v>0.18173311650753021</c:v>
                </c:pt>
                <c:pt idx="21">
                  <c:v>0.18140259385108948</c:v>
                </c:pt>
                <c:pt idx="22">
                  <c:v>0.18102875351905823</c:v>
                </c:pt>
                <c:pt idx="23">
                  <c:v>0.17598719894886017</c:v>
                </c:pt>
                <c:pt idx="24">
                  <c:v>0.16341221332550049</c:v>
                </c:pt>
                <c:pt idx="25">
                  <c:v>0.14555375277996063</c:v>
                </c:pt>
                <c:pt idx="26">
                  <c:v>0.12871980667114258</c:v>
                </c:pt>
                <c:pt idx="27">
                  <c:v>9.126349538564682E-2</c:v>
                </c:pt>
              </c:numCache>
            </c:numRef>
          </c:val>
          <c:extLst>
            <c:ext xmlns:c16="http://schemas.microsoft.com/office/drawing/2014/chart" uri="{C3380CC4-5D6E-409C-BE32-E72D297353CC}">
              <c16:uniqueId val="{00000004-5941-426D-9531-035474D23B34}"/>
            </c:ext>
          </c:extLst>
        </c:ser>
        <c:dLbls>
          <c:showLegendKey val="0"/>
          <c:showVal val="0"/>
          <c:showCatName val="0"/>
          <c:showSerName val="0"/>
          <c:showPercent val="0"/>
          <c:showBubbleSize val="0"/>
        </c:dLbls>
        <c:gapWidth val="150"/>
        <c:overlap val="-27"/>
        <c:axId val="808191872"/>
        <c:axId val="1947782480"/>
      </c:barChart>
      <c:catAx>
        <c:axId val="808191872"/>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947782480"/>
        <c:crosses val="autoZero"/>
        <c:auto val="1"/>
        <c:lblAlgn val="ctr"/>
        <c:lblOffset val="0"/>
        <c:tickLblSkip val="1"/>
        <c:noMultiLvlLbl val="0"/>
      </c:catAx>
      <c:valAx>
        <c:axId val="1947782480"/>
        <c:scaling>
          <c:orientation val="minMax"/>
        </c:scaling>
        <c:delete val="0"/>
        <c:axPos val="l"/>
        <c:majorGridlines>
          <c:spPr>
            <a:ln w="9525" cap="flat" cmpd="sng" algn="ctr">
              <a:solidFill>
                <a:srgbClr val="FFFFFF"/>
              </a:solidFill>
              <a:prstDash val="solid"/>
              <a:round/>
            </a:ln>
            <a:effectLst/>
          </c:spPr>
        </c:majorGridlines>
        <c:numFmt formatCode="0%"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808191872"/>
        <c:crosses val="autoZero"/>
        <c:crossBetween val="between"/>
      </c:valAx>
      <c:spPr>
        <a:solidFill>
          <a:srgbClr val="EAEAEA"/>
        </a:solidFill>
        <a:ln>
          <a:noFill/>
        </a:ln>
        <a:effectLst/>
        <a:extLst>
          <a:ext uri="{91240B29-F687-4F45-9708-019B960494DF}">
            <a14:hiddenLine xmlns:a14="http://schemas.microsoft.com/office/drawing/2010/main">
              <a:noFill/>
            </a14:hiddenLine>
          </a:ext>
        </a:extLst>
      </c:spPr>
    </c:plotArea>
    <c:plotVisOnly val="1"/>
    <c:dispBlanksAs val="gap"/>
    <c:showDLblsOverMax val="1"/>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25504391694075E-3"/>
          <c:y val="0.13203568489596471"/>
          <c:w val="0.98691174341245891"/>
          <c:h val="0.85311614639766153"/>
        </c:manualLayout>
      </c:layout>
      <c:barChart>
        <c:barDir val="col"/>
        <c:grouping val="clustered"/>
        <c:varyColors val="0"/>
        <c:ser>
          <c:idx val="0"/>
          <c:order val="0"/>
          <c:tx>
            <c:strRef>
              <c:f>'HC1.4.6'!$L$2</c:f>
              <c:strCache>
                <c:ptCount val="1"/>
                <c:pt idx="0">
                  <c:v>Tenant (↓)</c:v>
                </c:pt>
              </c:strCache>
            </c:strRef>
          </c:tx>
          <c:spPr>
            <a:solidFill>
              <a:srgbClr val="002F6C"/>
            </a:solidFill>
            <a:ln>
              <a:solidFill>
                <a:sysClr val="windowText" lastClr="000000"/>
              </a:solidFill>
            </a:ln>
            <a:effectLst/>
          </c:spPr>
          <c:invertIfNegative val="0"/>
          <c:dPt>
            <c:idx val="10"/>
            <c:invertIfNegative val="0"/>
            <c:bubble3D val="0"/>
            <c:spPr>
              <a:solidFill>
                <a:srgbClr val="002F6C"/>
              </a:solidFill>
              <a:ln>
                <a:solidFill>
                  <a:sysClr val="windowText" lastClr="000000"/>
                </a:solidFill>
              </a:ln>
              <a:effectLst/>
            </c:spPr>
            <c:extLst>
              <c:ext xmlns:c16="http://schemas.microsoft.com/office/drawing/2014/chart" uri="{C3380CC4-5D6E-409C-BE32-E72D297353CC}">
                <c16:uniqueId val="{00000001-3328-4FF7-9502-7363727DEB86}"/>
              </c:ext>
            </c:extLst>
          </c:dPt>
          <c:dPt>
            <c:idx val="12"/>
            <c:invertIfNegative val="0"/>
            <c:bubble3D val="0"/>
            <c:spPr>
              <a:solidFill>
                <a:srgbClr val="002F6C"/>
              </a:solidFill>
              <a:ln>
                <a:solidFill>
                  <a:sysClr val="windowText" lastClr="000000"/>
                </a:solidFill>
              </a:ln>
              <a:effectLst/>
            </c:spPr>
            <c:extLst>
              <c:ext xmlns:c16="http://schemas.microsoft.com/office/drawing/2014/chart" uri="{C3380CC4-5D6E-409C-BE32-E72D297353CC}">
                <c16:uniqueId val="{00000003-3328-4FF7-9502-7363727DEB86}"/>
              </c:ext>
            </c:extLst>
          </c:dPt>
          <c:dPt>
            <c:idx val="13"/>
            <c:invertIfNegative val="0"/>
            <c:bubble3D val="0"/>
            <c:spPr>
              <a:solidFill>
                <a:srgbClr val="D72B00"/>
              </a:solidFill>
              <a:ln>
                <a:solidFill>
                  <a:sysClr val="windowText" lastClr="000000"/>
                </a:solidFill>
              </a:ln>
              <a:effectLst/>
            </c:spPr>
            <c:extLst>
              <c:ext xmlns:c16="http://schemas.microsoft.com/office/drawing/2014/chart" uri="{C3380CC4-5D6E-409C-BE32-E72D297353CC}">
                <c16:uniqueId val="{00000005-3328-4FF7-9502-7363727DEB86}"/>
              </c:ext>
            </c:extLst>
          </c:dPt>
          <c:dPt>
            <c:idx val="14"/>
            <c:invertIfNegative val="0"/>
            <c:bubble3D val="0"/>
            <c:spPr>
              <a:solidFill>
                <a:srgbClr val="002F6C"/>
              </a:solidFill>
              <a:ln>
                <a:solidFill>
                  <a:sysClr val="windowText" lastClr="000000"/>
                </a:solidFill>
              </a:ln>
              <a:effectLst/>
            </c:spPr>
            <c:extLst>
              <c:ext xmlns:c16="http://schemas.microsoft.com/office/drawing/2014/chart" uri="{C3380CC4-5D6E-409C-BE32-E72D297353CC}">
                <c16:uniqueId val="{00000008-3328-4FF7-9502-7363727DEB86}"/>
              </c:ext>
            </c:extLst>
          </c:dPt>
          <c:cat>
            <c:strRef>
              <c:f>'HC1.4.6'!$K$3:$K$30</c:f>
              <c:strCache>
                <c:ptCount val="28"/>
                <c:pt idx="0">
                  <c:v>Portugal</c:v>
                </c:pt>
                <c:pt idx="1">
                  <c:v>Slovenia</c:v>
                </c:pt>
                <c:pt idx="2">
                  <c:v>Chile</c:v>
                </c:pt>
                <c:pt idx="3">
                  <c:v>Ireland</c:v>
                </c:pt>
                <c:pt idx="4">
                  <c:v>United States</c:v>
                </c:pt>
                <c:pt idx="5">
                  <c:v>Mexico</c:v>
                </c:pt>
                <c:pt idx="6">
                  <c:v>Greece</c:v>
                </c:pt>
                <c:pt idx="7">
                  <c:v>Israel</c:v>
                </c:pt>
                <c:pt idx="8">
                  <c:v>Korea</c:v>
                </c:pt>
                <c:pt idx="9">
                  <c:v>Lithuania</c:v>
                </c:pt>
                <c:pt idx="10">
                  <c:v>Finland</c:v>
                </c:pt>
                <c:pt idx="11">
                  <c:v>Spain</c:v>
                </c:pt>
                <c:pt idx="12">
                  <c:v>Canada</c:v>
                </c:pt>
                <c:pt idx="13">
                  <c:v>OECD - 27</c:v>
                </c:pt>
                <c:pt idx="14">
                  <c:v>Türkiye</c:v>
                </c:pt>
                <c:pt idx="15">
                  <c:v>Estonia</c:v>
                </c:pt>
                <c:pt idx="16">
                  <c:v>United Kingdom </c:v>
                </c:pt>
                <c:pt idx="17">
                  <c:v>France</c:v>
                </c:pt>
                <c:pt idx="18">
                  <c:v>Poland</c:v>
                </c:pt>
                <c:pt idx="19">
                  <c:v>Norway</c:v>
                </c:pt>
                <c:pt idx="20">
                  <c:v>Latvia</c:v>
                </c:pt>
                <c:pt idx="21">
                  <c:v>Austria</c:v>
                </c:pt>
                <c:pt idx="22">
                  <c:v>Switzerland</c:v>
                </c:pt>
                <c:pt idx="23">
                  <c:v>Denmark</c:v>
                </c:pt>
                <c:pt idx="24">
                  <c:v>Germany</c:v>
                </c:pt>
                <c:pt idx="25">
                  <c:v>Netherlands</c:v>
                </c:pt>
                <c:pt idx="26">
                  <c:v>Belgium</c:v>
                </c:pt>
                <c:pt idx="27">
                  <c:v>Italy</c:v>
                </c:pt>
              </c:strCache>
            </c:strRef>
          </c:cat>
          <c:val>
            <c:numRef>
              <c:f>'HC1.4.6'!$L$3:$L$30</c:f>
              <c:numCache>
                <c:formatCode>0%</c:formatCode>
                <c:ptCount val="28"/>
                <c:pt idx="0">
                  <c:v>0.44877895712852478</c:v>
                </c:pt>
                <c:pt idx="1">
                  <c:v>0.42650267481803894</c:v>
                </c:pt>
                <c:pt idx="2">
                  <c:v>0.38182559609413147</c:v>
                </c:pt>
                <c:pt idx="3">
                  <c:v>0.3791382908821106</c:v>
                </c:pt>
                <c:pt idx="4">
                  <c:v>0.36776450276374817</c:v>
                </c:pt>
                <c:pt idx="5">
                  <c:v>0.36088952422142029</c:v>
                </c:pt>
                <c:pt idx="6">
                  <c:v>0.34168317914009094</c:v>
                </c:pt>
                <c:pt idx="7">
                  <c:v>0.3414798378944397</c:v>
                </c:pt>
                <c:pt idx="8">
                  <c:v>0.33351600170135498</c:v>
                </c:pt>
                <c:pt idx="9">
                  <c:v>0.33003246784210205</c:v>
                </c:pt>
                <c:pt idx="10">
                  <c:v>0.32639825344085693</c:v>
                </c:pt>
                <c:pt idx="11">
                  <c:v>0.31769493222236633</c:v>
                </c:pt>
                <c:pt idx="12">
                  <c:v>0.31516817212104797</c:v>
                </c:pt>
                <c:pt idx="13">
                  <c:v>0.2880899414972023</c:v>
                </c:pt>
                <c:pt idx="14">
                  <c:v>0.27514496445655823</c:v>
                </c:pt>
                <c:pt idx="15">
                  <c:v>0.2665693461894989</c:v>
                </c:pt>
                <c:pt idx="16">
                  <c:v>0.26006364822387695</c:v>
                </c:pt>
                <c:pt idx="17">
                  <c:v>0.24692142009735107</c:v>
                </c:pt>
                <c:pt idx="18">
                  <c:v>0.23988255858421326</c:v>
                </c:pt>
                <c:pt idx="19">
                  <c:v>0.22356104850769043</c:v>
                </c:pt>
                <c:pt idx="20">
                  <c:v>0.21978080272674561</c:v>
                </c:pt>
                <c:pt idx="21">
                  <c:v>0.21949991583824158</c:v>
                </c:pt>
                <c:pt idx="22">
                  <c:v>0.21079516410827637</c:v>
                </c:pt>
                <c:pt idx="23">
                  <c:v>0.2090536504983902</c:v>
                </c:pt>
                <c:pt idx="24">
                  <c:v>0.20842544734477997</c:v>
                </c:pt>
                <c:pt idx="25">
                  <c:v>0.19897976517677307</c:v>
                </c:pt>
                <c:pt idx="26">
                  <c:v>0.19517980515956879</c:v>
                </c:pt>
                <c:pt idx="27">
                  <c:v>0.13369849324226379</c:v>
                </c:pt>
              </c:numCache>
            </c:numRef>
          </c:val>
          <c:extLst>
            <c:ext xmlns:c16="http://schemas.microsoft.com/office/drawing/2014/chart" uri="{C3380CC4-5D6E-409C-BE32-E72D297353CC}">
              <c16:uniqueId val="{00000006-3328-4FF7-9502-7363727DEB86}"/>
            </c:ext>
          </c:extLst>
        </c:ser>
        <c:dLbls>
          <c:showLegendKey val="0"/>
          <c:showVal val="0"/>
          <c:showCatName val="0"/>
          <c:showSerName val="0"/>
          <c:showPercent val="0"/>
          <c:showBubbleSize val="0"/>
        </c:dLbls>
        <c:gapWidth val="150"/>
        <c:overlap val="-27"/>
        <c:axId val="808191872"/>
        <c:axId val="1947782480"/>
      </c:barChart>
      <c:lineChart>
        <c:grouping val="standard"/>
        <c:varyColors val="0"/>
        <c:ser>
          <c:idx val="1"/>
          <c:order val="1"/>
          <c:tx>
            <c:strRef>
              <c:f>'HC1.4.6'!$M$2</c:f>
              <c:strCache>
                <c:ptCount val="1"/>
                <c:pt idx="0">
                  <c:v>Owner</c:v>
                </c:pt>
              </c:strCache>
            </c:strRef>
          </c:tx>
          <c:spPr>
            <a:ln w="28575" cap="rnd">
              <a:noFill/>
              <a:round/>
            </a:ln>
            <a:effectLst/>
          </c:spPr>
          <c:marker>
            <c:symbol val="triangle"/>
            <c:size val="6"/>
            <c:spPr>
              <a:solidFill>
                <a:schemeClr val="bg1"/>
              </a:solidFill>
              <a:ln w="9525">
                <a:solidFill>
                  <a:schemeClr val="tx1"/>
                </a:solidFill>
              </a:ln>
              <a:effectLst/>
            </c:spPr>
          </c:marker>
          <c:dPt>
            <c:idx val="14"/>
            <c:marker>
              <c:symbol val="triangle"/>
              <c:size val="6"/>
              <c:spPr>
                <a:solidFill>
                  <a:schemeClr val="bg1"/>
                </a:solidFill>
                <a:ln w="9525">
                  <a:solidFill>
                    <a:schemeClr val="tx1"/>
                  </a:solidFill>
                </a:ln>
                <a:effectLst/>
              </c:spPr>
            </c:marker>
            <c:bubble3D val="0"/>
            <c:spPr>
              <a:ln w="28575" cap="rnd">
                <a:noFill/>
                <a:round/>
              </a:ln>
              <a:effectLst/>
            </c:spPr>
            <c:extLst>
              <c:ext xmlns:c16="http://schemas.microsoft.com/office/drawing/2014/chart" uri="{C3380CC4-5D6E-409C-BE32-E72D297353CC}">
                <c16:uniqueId val="{00000009-3328-4FF7-9502-7363727DEB86}"/>
              </c:ext>
            </c:extLst>
          </c:dPt>
          <c:cat>
            <c:strRef>
              <c:f>'HC1.4.6'!$K$3:$K$30</c:f>
              <c:strCache>
                <c:ptCount val="28"/>
                <c:pt idx="0">
                  <c:v>Portugal</c:v>
                </c:pt>
                <c:pt idx="1">
                  <c:v>Slovenia</c:v>
                </c:pt>
                <c:pt idx="2">
                  <c:v>Chile</c:v>
                </c:pt>
                <c:pt idx="3">
                  <c:v>Ireland</c:v>
                </c:pt>
                <c:pt idx="4">
                  <c:v>United States</c:v>
                </c:pt>
                <c:pt idx="5">
                  <c:v>Mexico</c:v>
                </c:pt>
                <c:pt idx="6">
                  <c:v>Greece</c:v>
                </c:pt>
                <c:pt idx="7">
                  <c:v>Israel</c:v>
                </c:pt>
                <c:pt idx="8">
                  <c:v>Korea</c:v>
                </c:pt>
                <c:pt idx="9">
                  <c:v>Lithuania</c:v>
                </c:pt>
                <c:pt idx="10">
                  <c:v>Finland</c:v>
                </c:pt>
                <c:pt idx="11">
                  <c:v>Spain</c:v>
                </c:pt>
                <c:pt idx="12">
                  <c:v>Canada</c:v>
                </c:pt>
                <c:pt idx="13">
                  <c:v>OECD - 27</c:v>
                </c:pt>
                <c:pt idx="14">
                  <c:v>Türkiye</c:v>
                </c:pt>
                <c:pt idx="15">
                  <c:v>Estonia</c:v>
                </c:pt>
                <c:pt idx="16">
                  <c:v>United Kingdom </c:v>
                </c:pt>
                <c:pt idx="17">
                  <c:v>France</c:v>
                </c:pt>
                <c:pt idx="18">
                  <c:v>Poland</c:v>
                </c:pt>
                <c:pt idx="19">
                  <c:v>Norway</c:v>
                </c:pt>
                <c:pt idx="20">
                  <c:v>Latvia</c:v>
                </c:pt>
                <c:pt idx="21">
                  <c:v>Austria</c:v>
                </c:pt>
                <c:pt idx="22">
                  <c:v>Switzerland</c:v>
                </c:pt>
                <c:pt idx="23">
                  <c:v>Denmark</c:v>
                </c:pt>
                <c:pt idx="24">
                  <c:v>Germany</c:v>
                </c:pt>
                <c:pt idx="25">
                  <c:v>Netherlands</c:v>
                </c:pt>
                <c:pt idx="26">
                  <c:v>Belgium</c:v>
                </c:pt>
                <c:pt idx="27">
                  <c:v>Italy</c:v>
                </c:pt>
              </c:strCache>
            </c:strRef>
          </c:cat>
          <c:val>
            <c:numRef>
              <c:f>'HC1.4.6'!$M$3:$M$30</c:f>
              <c:numCache>
                <c:formatCode>0%</c:formatCode>
                <c:ptCount val="28"/>
                <c:pt idx="0">
                  <c:v>0.22831934690475464</c:v>
                </c:pt>
                <c:pt idx="1">
                  <c:v>0.25399482250213623</c:v>
                </c:pt>
                <c:pt idx="2">
                  <c:v>0.21804840862751007</c:v>
                </c:pt>
                <c:pt idx="3">
                  <c:v>0.2311946302652359</c:v>
                </c:pt>
                <c:pt idx="4">
                  <c:v>0.26190492510795593</c:v>
                </c:pt>
                <c:pt idx="5">
                  <c:v>0.30713281035423279</c:v>
                </c:pt>
                <c:pt idx="6">
                  <c:v>0.20692917704582214</c:v>
                </c:pt>
                <c:pt idx="7">
                  <c:v>0.2368481308221817</c:v>
                </c:pt>
                <c:pt idx="8">
                  <c:v>0.17950442433357239</c:v>
                </c:pt>
                <c:pt idx="9">
                  <c:v>0.1209842711687088</c:v>
                </c:pt>
                <c:pt idx="10">
                  <c:v>0.2190956175327301</c:v>
                </c:pt>
                <c:pt idx="11">
                  <c:v>0.25183248519897461</c:v>
                </c:pt>
                <c:pt idx="12">
                  <c:v>0.22423103451728821</c:v>
                </c:pt>
                <c:pt idx="13">
                  <c:v>0.18591811121613891</c:v>
                </c:pt>
                <c:pt idx="14">
                  <c:v>0.20150367915630341</c:v>
                </c:pt>
                <c:pt idx="15">
                  <c:v>0.18381376564502716</c:v>
                </c:pt>
                <c:pt idx="16">
                  <c:v>0.17431299388408661</c:v>
                </c:pt>
                <c:pt idx="17">
                  <c:v>9.7531415522098541E-2</c:v>
                </c:pt>
                <c:pt idx="18">
                  <c:v>0.18969860672950745</c:v>
                </c:pt>
                <c:pt idx="19">
                  <c:v>0.17309877276420593</c:v>
                </c:pt>
                <c:pt idx="20">
                  <c:v>0.1921430230140686</c:v>
                </c:pt>
                <c:pt idx="21">
                  <c:v>0.14592164754867554</c:v>
                </c:pt>
                <c:pt idx="22">
                  <c:v>0.12682408094406128</c:v>
                </c:pt>
                <c:pt idx="23">
                  <c:v>0.11094490438699722</c:v>
                </c:pt>
                <c:pt idx="24">
                  <c:v>0.13722121715545654</c:v>
                </c:pt>
                <c:pt idx="25">
                  <c:v>0.1696975976228714</c:v>
                </c:pt>
                <c:pt idx="26">
                  <c:v>9.7398273646831512E-2</c:v>
                </c:pt>
                <c:pt idx="27">
                  <c:v>7.9658940434455872E-2</c:v>
                </c:pt>
              </c:numCache>
            </c:numRef>
          </c:val>
          <c:smooth val="0"/>
          <c:extLst>
            <c:ext xmlns:c16="http://schemas.microsoft.com/office/drawing/2014/chart" uri="{C3380CC4-5D6E-409C-BE32-E72D297353CC}">
              <c16:uniqueId val="{00000007-3328-4FF7-9502-7363727DEB86}"/>
            </c:ext>
          </c:extLst>
        </c:ser>
        <c:dLbls>
          <c:showLegendKey val="0"/>
          <c:showVal val="0"/>
          <c:showCatName val="0"/>
          <c:showSerName val="0"/>
          <c:showPercent val="0"/>
          <c:showBubbleSize val="0"/>
        </c:dLbls>
        <c:marker val="1"/>
        <c:smooth val="0"/>
        <c:axId val="808191872"/>
        <c:axId val="1947782480"/>
      </c:lineChart>
      <c:catAx>
        <c:axId val="808191872"/>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947782480"/>
        <c:crosses val="autoZero"/>
        <c:auto val="1"/>
        <c:lblAlgn val="ctr"/>
        <c:lblOffset val="0"/>
        <c:tickLblSkip val="1"/>
        <c:noMultiLvlLbl val="0"/>
      </c:catAx>
      <c:valAx>
        <c:axId val="1947782480"/>
        <c:scaling>
          <c:orientation val="minMax"/>
        </c:scaling>
        <c:delete val="0"/>
        <c:axPos val="l"/>
        <c:majorGridlines>
          <c:spPr>
            <a:ln w="9525" cap="flat" cmpd="sng" algn="ctr">
              <a:solidFill>
                <a:srgbClr val="FFFFFF"/>
              </a:solidFill>
              <a:prstDash val="solid"/>
              <a:round/>
            </a:ln>
            <a:effectLst/>
          </c:spPr>
        </c:majorGridlines>
        <c:numFmt formatCode="0%"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808191872"/>
        <c:crosses val="autoZero"/>
        <c:crossBetween val="between"/>
      </c:valAx>
      <c:spPr>
        <a:solidFill>
          <a:srgbClr val="EAEAEA"/>
        </a:solidFill>
        <a:ln>
          <a:noFill/>
        </a:ln>
        <a:effectLst/>
        <a:extLst>
          <a:ext uri="{91240B29-F687-4F45-9708-019B960494DF}">
            <a14:hiddenLine xmlns:a14="http://schemas.microsoft.com/office/drawing/2010/main">
              <a:noFill/>
            </a14:hiddenLine>
          </a:ext>
        </a:extLst>
      </c:spPr>
    </c:plotArea>
    <c:legend>
      <c:legendPos val="t"/>
      <c:layout>
        <c:manualLayout>
          <c:xMode val="edge"/>
          <c:yMode val="edge"/>
          <c:x val="5.3143646364238621E-2"/>
          <c:y val="1.9797558275165016E-2"/>
          <c:w val="0.93392543094630676"/>
          <c:h val="7.4240843531868814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orientation="portrait"/>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q3f_age!$H$1</c:f>
              <c:strCache>
                <c:ptCount val="1"/>
                <c:pt idx="0">
                  <c:v>18-24</c:v>
                </c:pt>
              </c:strCache>
            </c:strRef>
          </c:tx>
          <c:spPr>
            <a:solidFill>
              <a:schemeClr val="accent1"/>
            </a:solidFill>
            <a:ln>
              <a:noFill/>
            </a:ln>
            <a:effectLst/>
          </c:spPr>
          <c:invertIfNegative val="0"/>
          <c:cat>
            <c:strRef>
              <c:f>q3f_age!$G$2:$G$28</c:f>
              <c:strCache>
                <c:ptCount val="27"/>
                <c:pt idx="0">
                  <c:v>ESP</c:v>
                </c:pt>
                <c:pt idx="1">
                  <c:v>CHL</c:v>
                </c:pt>
                <c:pt idx="2">
                  <c:v>MEX</c:v>
                </c:pt>
                <c:pt idx="3">
                  <c:v>IRL</c:v>
                </c:pt>
                <c:pt idx="4">
                  <c:v>PRT</c:v>
                </c:pt>
                <c:pt idx="5">
                  <c:v>PRT</c:v>
                </c:pt>
                <c:pt idx="6">
                  <c:v>GBR</c:v>
                </c:pt>
                <c:pt idx="7">
                  <c:v>CAN</c:v>
                </c:pt>
                <c:pt idx="8">
                  <c:v>GRC</c:v>
                </c:pt>
                <c:pt idx="9">
                  <c:v>NLD</c:v>
                </c:pt>
                <c:pt idx="10">
                  <c:v>DEU</c:v>
                </c:pt>
                <c:pt idx="11">
                  <c:v>ISR</c:v>
                </c:pt>
                <c:pt idx="12">
                  <c:v>BEL</c:v>
                </c:pt>
                <c:pt idx="13">
                  <c:v>USA</c:v>
                </c:pt>
                <c:pt idx="14">
                  <c:v>KOR</c:v>
                </c:pt>
                <c:pt idx="15">
                  <c:v>ITA</c:v>
                </c:pt>
                <c:pt idx="16">
                  <c:v>LTU</c:v>
                </c:pt>
                <c:pt idx="17">
                  <c:v>AUT</c:v>
                </c:pt>
                <c:pt idx="18">
                  <c:v>TUR</c:v>
                </c:pt>
                <c:pt idx="19">
                  <c:v>FRA</c:v>
                </c:pt>
                <c:pt idx="20">
                  <c:v>LVA</c:v>
                </c:pt>
                <c:pt idx="21">
                  <c:v>DNK</c:v>
                </c:pt>
                <c:pt idx="22">
                  <c:v>NOR</c:v>
                </c:pt>
                <c:pt idx="23">
                  <c:v>CHE</c:v>
                </c:pt>
                <c:pt idx="24">
                  <c:v>SVN</c:v>
                </c:pt>
                <c:pt idx="25">
                  <c:v>EST</c:v>
                </c:pt>
                <c:pt idx="26">
                  <c:v>FIN</c:v>
                </c:pt>
              </c:strCache>
            </c:strRef>
          </c:cat>
          <c:val>
            <c:numRef>
              <c:f>q3f_age!$H$2:$H$28</c:f>
              <c:numCache>
                <c:formatCode>General</c:formatCode>
                <c:ptCount val="27"/>
                <c:pt idx="0">
                  <c:v>0.94856500625610352</c:v>
                </c:pt>
                <c:pt idx="1">
                  <c:v>0.89870727062225342</c:v>
                </c:pt>
                <c:pt idx="2">
                  <c:v>0.88560003042221069</c:v>
                </c:pt>
                <c:pt idx="3">
                  <c:v>0.84309238195419312</c:v>
                </c:pt>
                <c:pt idx="4">
                  <c:v>0.82782328128814697</c:v>
                </c:pt>
                <c:pt idx="5">
                  <c:v>0.82782328128814697</c:v>
                </c:pt>
                <c:pt idx="6">
                  <c:v>0.80095088481903076</c:v>
                </c:pt>
                <c:pt idx="7">
                  <c:v>0.79911702871322632</c:v>
                </c:pt>
                <c:pt idx="8">
                  <c:v>0.78750330209732056</c:v>
                </c:pt>
                <c:pt idx="9">
                  <c:v>0.75715947151184082</c:v>
                </c:pt>
                <c:pt idx="10">
                  <c:v>0.741038978099823</c:v>
                </c:pt>
                <c:pt idx="11">
                  <c:v>0.7329174280166626</c:v>
                </c:pt>
                <c:pt idx="12">
                  <c:v>0.72924673557281494</c:v>
                </c:pt>
                <c:pt idx="13">
                  <c:v>0.72044157981872559</c:v>
                </c:pt>
                <c:pt idx="14">
                  <c:v>0.72002440690994263</c:v>
                </c:pt>
                <c:pt idx="15">
                  <c:v>0.69766461849212646</c:v>
                </c:pt>
                <c:pt idx="16">
                  <c:v>0.69102436304092407</c:v>
                </c:pt>
                <c:pt idx="17">
                  <c:v>0.68526846170425415</c:v>
                </c:pt>
                <c:pt idx="18">
                  <c:v>0.66551834344863892</c:v>
                </c:pt>
                <c:pt idx="19">
                  <c:v>0.65945863723754883</c:v>
                </c:pt>
                <c:pt idx="20">
                  <c:v>0.62989789247512817</c:v>
                </c:pt>
                <c:pt idx="21">
                  <c:v>0.58548969030380249</c:v>
                </c:pt>
                <c:pt idx="22">
                  <c:v>0.54779738187789917</c:v>
                </c:pt>
                <c:pt idx="23">
                  <c:v>0.5441935658454895</c:v>
                </c:pt>
                <c:pt idx="24">
                  <c:v>0.49403145909309387</c:v>
                </c:pt>
                <c:pt idx="25">
                  <c:v>0.49195492267608643</c:v>
                </c:pt>
                <c:pt idx="26">
                  <c:v>0.46528166532516479</c:v>
                </c:pt>
              </c:numCache>
            </c:numRef>
          </c:val>
          <c:extLst>
            <c:ext xmlns:c16="http://schemas.microsoft.com/office/drawing/2014/chart" uri="{C3380CC4-5D6E-409C-BE32-E72D297353CC}">
              <c16:uniqueId val="{00000000-95C4-4390-AE49-7AE8CC66BC87}"/>
            </c:ext>
          </c:extLst>
        </c:ser>
        <c:ser>
          <c:idx val="5"/>
          <c:order val="5"/>
          <c:tx>
            <c:strRef>
              <c:f>q3f_age!$M$1</c:f>
              <c:strCache>
                <c:ptCount val="1"/>
                <c:pt idx="0">
                  <c:v>Total</c:v>
                </c:pt>
              </c:strCache>
            </c:strRef>
          </c:tx>
          <c:spPr>
            <a:solidFill>
              <a:schemeClr val="accent6"/>
            </a:solidFill>
            <a:ln>
              <a:noFill/>
            </a:ln>
            <a:effectLst/>
          </c:spPr>
          <c:invertIfNegative val="0"/>
          <c:cat>
            <c:strRef>
              <c:f>q3f_age!$G$2:$G$28</c:f>
              <c:strCache>
                <c:ptCount val="27"/>
                <c:pt idx="0">
                  <c:v>ESP</c:v>
                </c:pt>
                <c:pt idx="1">
                  <c:v>CHL</c:v>
                </c:pt>
                <c:pt idx="2">
                  <c:v>MEX</c:v>
                </c:pt>
                <c:pt idx="3">
                  <c:v>IRL</c:v>
                </c:pt>
                <c:pt idx="4">
                  <c:v>PRT</c:v>
                </c:pt>
                <c:pt idx="5">
                  <c:v>PRT</c:v>
                </c:pt>
                <c:pt idx="6">
                  <c:v>GBR</c:v>
                </c:pt>
                <c:pt idx="7">
                  <c:v>CAN</c:v>
                </c:pt>
                <c:pt idx="8">
                  <c:v>GRC</c:v>
                </c:pt>
                <c:pt idx="9">
                  <c:v>NLD</c:v>
                </c:pt>
                <c:pt idx="10">
                  <c:v>DEU</c:v>
                </c:pt>
                <c:pt idx="11">
                  <c:v>ISR</c:v>
                </c:pt>
                <c:pt idx="12">
                  <c:v>BEL</c:v>
                </c:pt>
                <c:pt idx="13">
                  <c:v>USA</c:v>
                </c:pt>
                <c:pt idx="14">
                  <c:v>KOR</c:v>
                </c:pt>
                <c:pt idx="15">
                  <c:v>ITA</c:v>
                </c:pt>
                <c:pt idx="16">
                  <c:v>LTU</c:v>
                </c:pt>
                <c:pt idx="17">
                  <c:v>AUT</c:v>
                </c:pt>
                <c:pt idx="18">
                  <c:v>TUR</c:v>
                </c:pt>
                <c:pt idx="19">
                  <c:v>FRA</c:v>
                </c:pt>
                <c:pt idx="20">
                  <c:v>LVA</c:v>
                </c:pt>
                <c:pt idx="21">
                  <c:v>DNK</c:v>
                </c:pt>
                <c:pt idx="22">
                  <c:v>NOR</c:v>
                </c:pt>
                <c:pt idx="23">
                  <c:v>CHE</c:v>
                </c:pt>
                <c:pt idx="24">
                  <c:v>SVN</c:v>
                </c:pt>
                <c:pt idx="25">
                  <c:v>EST</c:v>
                </c:pt>
                <c:pt idx="26">
                  <c:v>FIN</c:v>
                </c:pt>
              </c:strCache>
            </c:strRef>
          </c:cat>
          <c:val>
            <c:numRef>
              <c:f>q3f_age!$M$2:$M$28</c:f>
              <c:numCache>
                <c:formatCode>0</c:formatCode>
                <c:ptCount val="27"/>
                <c:pt idx="0">
                  <c:v>0.77407181262969971</c:v>
                </c:pt>
                <c:pt idx="1">
                  <c:v>0.79822224378585815</c:v>
                </c:pt>
                <c:pt idx="2">
                  <c:v>0.77397686243057251</c:v>
                </c:pt>
                <c:pt idx="3">
                  <c:v>0.42679482698440552</c:v>
                </c:pt>
                <c:pt idx="4">
                  <c:v>0.43646425008773804</c:v>
                </c:pt>
                <c:pt idx="5">
                  <c:v>0.67474240064620972</c:v>
                </c:pt>
                <c:pt idx="6">
                  <c:v>0.53350585699081421</c:v>
                </c:pt>
                <c:pt idx="7">
                  <c:v>0.53405237197875977</c:v>
                </c:pt>
                <c:pt idx="8">
                  <c:v>0.73963350057601929</c:v>
                </c:pt>
                <c:pt idx="9">
                  <c:v>0.51979058980941772</c:v>
                </c:pt>
                <c:pt idx="10">
                  <c:v>0.55596590042114258</c:v>
                </c:pt>
                <c:pt idx="11">
                  <c:v>0.58973157405853271</c:v>
                </c:pt>
                <c:pt idx="12">
                  <c:v>0.46213105320930481</c:v>
                </c:pt>
                <c:pt idx="13">
                  <c:v>0.50000566244125366</c:v>
                </c:pt>
                <c:pt idx="14">
                  <c:v>0.5887877345085144</c:v>
                </c:pt>
                <c:pt idx="15">
                  <c:v>0.54522836208343506</c:v>
                </c:pt>
                <c:pt idx="16">
                  <c:v>0.59521347284317017</c:v>
                </c:pt>
                <c:pt idx="17">
                  <c:v>0.51729446649551392</c:v>
                </c:pt>
                <c:pt idx="18">
                  <c:v>0.69557720422744751</c:v>
                </c:pt>
                <c:pt idx="19">
                  <c:v>0.4896923303604126</c:v>
                </c:pt>
                <c:pt idx="20">
                  <c:v>0.58972734212875366</c:v>
                </c:pt>
                <c:pt idx="21">
                  <c:v>0.38605380058288574</c:v>
                </c:pt>
                <c:pt idx="22">
                  <c:v>0.4327160120010376</c:v>
                </c:pt>
                <c:pt idx="23">
                  <c:v>0.49481537938117981</c:v>
                </c:pt>
                <c:pt idx="24">
                  <c:v>0.46167153120040894</c:v>
                </c:pt>
                <c:pt idx="25">
                  <c:v>0.49333521723747253</c:v>
                </c:pt>
                <c:pt idx="26">
                  <c:v>0.43399092555046082</c:v>
                </c:pt>
              </c:numCache>
            </c:numRef>
          </c:val>
          <c:extLst>
            <c:ext xmlns:c16="http://schemas.microsoft.com/office/drawing/2014/chart" uri="{C3380CC4-5D6E-409C-BE32-E72D297353CC}">
              <c16:uniqueId val="{00000005-95C4-4390-AE49-7AE8CC66BC87}"/>
            </c:ext>
          </c:extLst>
        </c:ser>
        <c:dLbls>
          <c:showLegendKey val="0"/>
          <c:showVal val="0"/>
          <c:showCatName val="0"/>
          <c:showSerName val="0"/>
          <c:showPercent val="0"/>
          <c:showBubbleSize val="0"/>
        </c:dLbls>
        <c:gapWidth val="219"/>
        <c:overlap val="-27"/>
        <c:axId val="808193264"/>
        <c:axId val="872288112"/>
        <c:extLst>
          <c:ext xmlns:c15="http://schemas.microsoft.com/office/drawing/2012/chart" uri="{02D57815-91ED-43cb-92C2-25804820EDAC}">
            <c15:filteredBarSeries>
              <c15:ser>
                <c:idx val="1"/>
                <c:order val="1"/>
                <c:tx>
                  <c:strRef>
                    <c:extLst>
                      <c:ext uri="{02D57815-91ED-43cb-92C2-25804820EDAC}">
                        <c15:formulaRef>
                          <c15:sqref>q3f_age!$I$1</c15:sqref>
                        </c15:formulaRef>
                      </c:ext>
                    </c:extLst>
                    <c:strCache>
                      <c:ptCount val="1"/>
                      <c:pt idx="0">
                        <c:v>25-34</c:v>
                      </c:pt>
                    </c:strCache>
                  </c:strRef>
                </c:tx>
                <c:spPr>
                  <a:solidFill>
                    <a:schemeClr val="accent2"/>
                  </a:solidFill>
                  <a:ln>
                    <a:noFill/>
                  </a:ln>
                  <a:effectLst/>
                </c:spPr>
                <c:invertIfNegative val="0"/>
                <c:cat>
                  <c:strRef>
                    <c:extLst>
                      <c:ext uri="{02D57815-91ED-43cb-92C2-25804820EDAC}">
                        <c15:formulaRef>
                          <c15:sqref>q3f_age!$G$2:$G$28</c15:sqref>
                        </c15:formulaRef>
                      </c:ext>
                    </c:extLst>
                    <c:strCache>
                      <c:ptCount val="27"/>
                      <c:pt idx="0">
                        <c:v>ESP</c:v>
                      </c:pt>
                      <c:pt idx="1">
                        <c:v>CHL</c:v>
                      </c:pt>
                      <c:pt idx="2">
                        <c:v>MEX</c:v>
                      </c:pt>
                      <c:pt idx="3">
                        <c:v>IRL</c:v>
                      </c:pt>
                      <c:pt idx="4">
                        <c:v>PRT</c:v>
                      </c:pt>
                      <c:pt idx="5">
                        <c:v>PRT</c:v>
                      </c:pt>
                      <c:pt idx="6">
                        <c:v>GBR</c:v>
                      </c:pt>
                      <c:pt idx="7">
                        <c:v>CAN</c:v>
                      </c:pt>
                      <c:pt idx="8">
                        <c:v>GRC</c:v>
                      </c:pt>
                      <c:pt idx="9">
                        <c:v>NLD</c:v>
                      </c:pt>
                      <c:pt idx="10">
                        <c:v>DEU</c:v>
                      </c:pt>
                      <c:pt idx="11">
                        <c:v>ISR</c:v>
                      </c:pt>
                      <c:pt idx="12">
                        <c:v>BEL</c:v>
                      </c:pt>
                      <c:pt idx="13">
                        <c:v>USA</c:v>
                      </c:pt>
                      <c:pt idx="14">
                        <c:v>KOR</c:v>
                      </c:pt>
                      <c:pt idx="15">
                        <c:v>ITA</c:v>
                      </c:pt>
                      <c:pt idx="16">
                        <c:v>LTU</c:v>
                      </c:pt>
                      <c:pt idx="17">
                        <c:v>AUT</c:v>
                      </c:pt>
                      <c:pt idx="18">
                        <c:v>TUR</c:v>
                      </c:pt>
                      <c:pt idx="19">
                        <c:v>FRA</c:v>
                      </c:pt>
                      <c:pt idx="20">
                        <c:v>LVA</c:v>
                      </c:pt>
                      <c:pt idx="21">
                        <c:v>DNK</c:v>
                      </c:pt>
                      <c:pt idx="22">
                        <c:v>NOR</c:v>
                      </c:pt>
                      <c:pt idx="23">
                        <c:v>CHE</c:v>
                      </c:pt>
                      <c:pt idx="24">
                        <c:v>SVN</c:v>
                      </c:pt>
                      <c:pt idx="25">
                        <c:v>EST</c:v>
                      </c:pt>
                      <c:pt idx="26">
                        <c:v>FIN</c:v>
                      </c:pt>
                    </c:strCache>
                  </c:strRef>
                </c:cat>
                <c:val>
                  <c:numRef>
                    <c:extLst>
                      <c:ext uri="{02D57815-91ED-43cb-92C2-25804820EDAC}">
                        <c15:formulaRef>
                          <c15:sqref>q3f_age!$I$2:$I$28</c15:sqref>
                        </c15:formulaRef>
                      </c:ext>
                    </c:extLst>
                    <c:numCache>
                      <c:formatCode>General</c:formatCode>
                      <c:ptCount val="27"/>
                      <c:pt idx="0">
                        <c:v>0.89360582828521729</c:v>
                      </c:pt>
                      <c:pt idx="1">
                        <c:v>0.86745423078536987</c:v>
                      </c:pt>
                      <c:pt idx="2">
                        <c:v>0.83292454481124878</c:v>
                      </c:pt>
                      <c:pt idx="3">
                        <c:v>0.5484309196472168</c:v>
                      </c:pt>
                      <c:pt idx="4">
                        <c:v>0.77618759870529175</c:v>
                      </c:pt>
                      <c:pt idx="5">
                        <c:v>0.77618759870529175</c:v>
                      </c:pt>
                      <c:pt idx="6">
                        <c:v>0.63720625638961792</c:v>
                      </c:pt>
                      <c:pt idx="7">
                        <c:v>0.66083431243896484</c:v>
                      </c:pt>
                      <c:pt idx="8">
                        <c:v>0.80200701951980591</c:v>
                      </c:pt>
                      <c:pt idx="9">
                        <c:v>0.56718438863754272</c:v>
                      </c:pt>
                      <c:pt idx="10">
                        <c:v>0.62769448757171631</c:v>
                      </c:pt>
                      <c:pt idx="11">
                        <c:v>0.66660362482070923</c:v>
                      </c:pt>
                      <c:pt idx="12">
                        <c:v>0.5015832781791687</c:v>
                      </c:pt>
                      <c:pt idx="13">
                        <c:v>0.57083034515380859</c:v>
                      </c:pt>
                      <c:pt idx="14">
                        <c:v>0.69141554832458496</c:v>
                      </c:pt>
                      <c:pt idx="15">
                        <c:v>0.65064555406570435</c:v>
                      </c:pt>
                      <c:pt idx="16">
                        <c:v>0.63200372457504272</c:v>
                      </c:pt>
                      <c:pt idx="17">
                        <c:v>0.61306083202362061</c:v>
                      </c:pt>
                      <c:pt idx="18">
                        <c:v>0.7005811333656311</c:v>
                      </c:pt>
                      <c:pt idx="19">
                        <c:v>0.56071621179580688</c:v>
                      </c:pt>
                      <c:pt idx="20">
                        <c:v>0.61160081624984741</c:v>
                      </c:pt>
                      <c:pt idx="21">
                        <c:v>0.42024216055870056</c:v>
                      </c:pt>
                      <c:pt idx="22">
                        <c:v>0.49986627697944641</c:v>
                      </c:pt>
                      <c:pt idx="23">
                        <c:v>0.59899610280990601</c:v>
                      </c:pt>
                      <c:pt idx="24">
                        <c:v>0.51437085866928101</c:v>
                      </c:pt>
                      <c:pt idx="25">
                        <c:v>0.48260968923568726</c:v>
                      </c:pt>
                      <c:pt idx="26">
                        <c:v>0.4593149721622467</c:v>
                      </c:pt>
                    </c:numCache>
                  </c:numRef>
                </c:val>
                <c:extLst>
                  <c:ext xmlns:c16="http://schemas.microsoft.com/office/drawing/2014/chart" uri="{C3380CC4-5D6E-409C-BE32-E72D297353CC}">
                    <c16:uniqueId val="{00000001-95C4-4390-AE49-7AE8CC66BC8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q3f_age!$J$1</c15:sqref>
                        </c15:formulaRef>
                      </c:ext>
                    </c:extLst>
                    <c:strCache>
                      <c:ptCount val="1"/>
                      <c:pt idx="0">
                        <c:v>35-44</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q3f_age!$G$2:$G$28</c15:sqref>
                        </c15:formulaRef>
                      </c:ext>
                    </c:extLst>
                    <c:strCache>
                      <c:ptCount val="27"/>
                      <c:pt idx="0">
                        <c:v>ESP</c:v>
                      </c:pt>
                      <c:pt idx="1">
                        <c:v>CHL</c:v>
                      </c:pt>
                      <c:pt idx="2">
                        <c:v>MEX</c:v>
                      </c:pt>
                      <c:pt idx="3">
                        <c:v>IRL</c:v>
                      </c:pt>
                      <c:pt idx="4">
                        <c:v>PRT</c:v>
                      </c:pt>
                      <c:pt idx="5">
                        <c:v>PRT</c:v>
                      </c:pt>
                      <c:pt idx="6">
                        <c:v>GBR</c:v>
                      </c:pt>
                      <c:pt idx="7">
                        <c:v>CAN</c:v>
                      </c:pt>
                      <c:pt idx="8">
                        <c:v>GRC</c:v>
                      </c:pt>
                      <c:pt idx="9">
                        <c:v>NLD</c:v>
                      </c:pt>
                      <c:pt idx="10">
                        <c:v>DEU</c:v>
                      </c:pt>
                      <c:pt idx="11">
                        <c:v>ISR</c:v>
                      </c:pt>
                      <c:pt idx="12">
                        <c:v>BEL</c:v>
                      </c:pt>
                      <c:pt idx="13">
                        <c:v>USA</c:v>
                      </c:pt>
                      <c:pt idx="14">
                        <c:v>KOR</c:v>
                      </c:pt>
                      <c:pt idx="15">
                        <c:v>ITA</c:v>
                      </c:pt>
                      <c:pt idx="16">
                        <c:v>LTU</c:v>
                      </c:pt>
                      <c:pt idx="17">
                        <c:v>AUT</c:v>
                      </c:pt>
                      <c:pt idx="18">
                        <c:v>TUR</c:v>
                      </c:pt>
                      <c:pt idx="19">
                        <c:v>FRA</c:v>
                      </c:pt>
                      <c:pt idx="20">
                        <c:v>LVA</c:v>
                      </c:pt>
                      <c:pt idx="21">
                        <c:v>DNK</c:v>
                      </c:pt>
                      <c:pt idx="22">
                        <c:v>NOR</c:v>
                      </c:pt>
                      <c:pt idx="23">
                        <c:v>CHE</c:v>
                      </c:pt>
                      <c:pt idx="24">
                        <c:v>SVN</c:v>
                      </c:pt>
                      <c:pt idx="25">
                        <c:v>EST</c:v>
                      </c:pt>
                      <c:pt idx="26">
                        <c:v>FIN</c:v>
                      </c:pt>
                    </c:strCache>
                  </c:strRef>
                </c:cat>
                <c:val>
                  <c:numRef>
                    <c:extLst xmlns:c15="http://schemas.microsoft.com/office/drawing/2012/chart">
                      <c:ext xmlns:c15="http://schemas.microsoft.com/office/drawing/2012/chart" uri="{02D57815-91ED-43cb-92C2-25804820EDAC}">
                        <c15:formulaRef>
                          <c15:sqref>q3f_age!$J$2:$J$28</c15:sqref>
                        </c15:formulaRef>
                      </c:ext>
                    </c:extLst>
                    <c:numCache>
                      <c:formatCode>General</c:formatCode>
                      <c:ptCount val="27"/>
                      <c:pt idx="0">
                        <c:v>0.75865018367767334</c:v>
                      </c:pt>
                      <c:pt idx="1">
                        <c:v>0.79038935899734497</c:v>
                      </c:pt>
                      <c:pt idx="2">
                        <c:v>0.74081456661224365</c:v>
                      </c:pt>
                      <c:pt idx="3">
                        <c:v>0.36441344022750854</c:v>
                      </c:pt>
                      <c:pt idx="4">
                        <c:v>0.71319490671157837</c:v>
                      </c:pt>
                      <c:pt idx="5">
                        <c:v>0.71319490671157837</c:v>
                      </c:pt>
                      <c:pt idx="6">
                        <c:v>0.54392367601394653</c:v>
                      </c:pt>
                      <c:pt idx="7">
                        <c:v>0.53972798585891724</c:v>
                      </c:pt>
                      <c:pt idx="8">
                        <c:v>0.77573966979980469</c:v>
                      </c:pt>
                      <c:pt idx="9">
                        <c:v>0.45595508813858032</c:v>
                      </c:pt>
                      <c:pt idx="10">
                        <c:v>0.53541511297225952</c:v>
                      </c:pt>
                      <c:pt idx="11">
                        <c:v>0.57267606258392334</c:v>
                      </c:pt>
                      <c:pt idx="12">
                        <c:v>0.44047930836677551</c:v>
                      </c:pt>
                      <c:pt idx="13">
                        <c:v>0.51308983564376831</c:v>
                      </c:pt>
                      <c:pt idx="14">
                        <c:v>0.63143646717071533</c:v>
                      </c:pt>
                      <c:pt idx="15">
                        <c:v>0.62161785364151001</c:v>
                      </c:pt>
                      <c:pt idx="16">
                        <c:v>0.57715886831283569</c:v>
                      </c:pt>
                      <c:pt idx="17">
                        <c:v>0.48021915555000305</c:v>
                      </c:pt>
                      <c:pt idx="18">
                        <c:v>0.65847176313400269</c:v>
                      </c:pt>
                      <c:pt idx="19">
                        <c:v>0.46358215808868408</c:v>
                      </c:pt>
                      <c:pt idx="20">
                        <c:v>0.63068735599517822</c:v>
                      </c:pt>
                      <c:pt idx="21">
                        <c:v>0.37092241644859314</c:v>
                      </c:pt>
                      <c:pt idx="22">
                        <c:v>0.42370691895484924</c:v>
                      </c:pt>
                      <c:pt idx="23">
                        <c:v>0.44951805472373962</c:v>
                      </c:pt>
                      <c:pt idx="24">
                        <c:v>0.41807225346565247</c:v>
                      </c:pt>
                      <c:pt idx="25">
                        <c:v>0.55108475685119629</c:v>
                      </c:pt>
                      <c:pt idx="26">
                        <c:v>0.4021088182926178</c:v>
                      </c:pt>
                    </c:numCache>
                  </c:numRef>
                </c:val>
                <c:extLst xmlns:c15="http://schemas.microsoft.com/office/drawing/2012/chart">
                  <c:ext xmlns:c16="http://schemas.microsoft.com/office/drawing/2014/chart" uri="{C3380CC4-5D6E-409C-BE32-E72D297353CC}">
                    <c16:uniqueId val="{00000002-95C4-4390-AE49-7AE8CC66BC8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q3f_age!$K$1</c15:sqref>
                        </c15:formulaRef>
                      </c:ext>
                    </c:extLst>
                    <c:strCache>
                      <c:ptCount val="1"/>
                      <c:pt idx="0">
                        <c:v>45-54</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q3f_age!$G$2:$G$28</c15:sqref>
                        </c15:formulaRef>
                      </c:ext>
                    </c:extLst>
                    <c:strCache>
                      <c:ptCount val="27"/>
                      <c:pt idx="0">
                        <c:v>ESP</c:v>
                      </c:pt>
                      <c:pt idx="1">
                        <c:v>CHL</c:v>
                      </c:pt>
                      <c:pt idx="2">
                        <c:v>MEX</c:v>
                      </c:pt>
                      <c:pt idx="3">
                        <c:v>IRL</c:v>
                      </c:pt>
                      <c:pt idx="4">
                        <c:v>PRT</c:v>
                      </c:pt>
                      <c:pt idx="5">
                        <c:v>PRT</c:v>
                      </c:pt>
                      <c:pt idx="6">
                        <c:v>GBR</c:v>
                      </c:pt>
                      <c:pt idx="7">
                        <c:v>CAN</c:v>
                      </c:pt>
                      <c:pt idx="8">
                        <c:v>GRC</c:v>
                      </c:pt>
                      <c:pt idx="9">
                        <c:v>NLD</c:v>
                      </c:pt>
                      <c:pt idx="10">
                        <c:v>DEU</c:v>
                      </c:pt>
                      <c:pt idx="11">
                        <c:v>ISR</c:v>
                      </c:pt>
                      <c:pt idx="12">
                        <c:v>BEL</c:v>
                      </c:pt>
                      <c:pt idx="13">
                        <c:v>USA</c:v>
                      </c:pt>
                      <c:pt idx="14">
                        <c:v>KOR</c:v>
                      </c:pt>
                      <c:pt idx="15">
                        <c:v>ITA</c:v>
                      </c:pt>
                      <c:pt idx="16">
                        <c:v>LTU</c:v>
                      </c:pt>
                      <c:pt idx="17">
                        <c:v>AUT</c:v>
                      </c:pt>
                      <c:pt idx="18">
                        <c:v>TUR</c:v>
                      </c:pt>
                      <c:pt idx="19">
                        <c:v>FRA</c:v>
                      </c:pt>
                      <c:pt idx="20">
                        <c:v>LVA</c:v>
                      </c:pt>
                      <c:pt idx="21">
                        <c:v>DNK</c:v>
                      </c:pt>
                      <c:pt idx="22">
                        <c:v>NOR</c:v>
                      </c:pt>
                      <c:pt idx="23">
                        <c:v>CHE</c:v>
                      </c:pt>
                      <c:pt idx="24">
                        <c:v>SVN</c:v>
                      </c:pt>
                      <c:pt idx="25">
                        <c:v>EST</c:v>
                      </c:pt>
                      <c:pt idx="26">
                        <c:v>FIN</c:v>
                      </c:pt>
                    </c:strCache>
                  </c:strRef>
                </c:cat>
                <c:val>
                  <c:numRef>
                    <c:extLst xmlns:c15="http://schemas.microsoft.com/office/drawing/2012/chart">
                      <c:ext xmlns:c15="http://schemas.microsoft.com/office/drawing/2012/chart" uri="{02D57815-91ED-43cb-92C2-25804820EDAC}">
                        <c15:formulaRef>
                          <c15:sqref>q3f_age!$K$2:$K$28</c15:sqref>
                        </c15:formulaRef>
                      </c:ext>
                    </c:extLst>
                    <c:numCache>
                      <c:formatCode>General</c:formatCode>
                      <c:ptCount val="27"/>
                      <c:pt idx="0">
                        <c:v>0.71073514223098755</c:v>
                      </c:pt>
                      <c:pt idx="1">
                        <c:v>0.77778685092926025</c:v>
                      </c:pt>
                      <c:pt idx="2">
                        <c:v>0.7296372652053833</c:v>
                      </c:pt>
                      <c:pt idx="3">
                        <c:v>0.30754962563514709</c:v>
                      </c:pt>
                      <c:pt idx="4">
                        <c:v>0.66558998823165894</c:v>
                      </c:pt>
                      <c:pt idx="5">
                        <c:v>0.66558998823165894</c:v>
                      </c:pt>
                      <c:pt idx="6">
                        <c:v>0.43013441562652588</c:v>
                      </c:pt>
                      <c:pt idx="7">
                        <c:v>0.39629527926445007</c:v>
                      </c:pt>
                      <c:pt idx="8">
                        <c:v>0.75439453125</c:v>
                      </c:pt>
                      <c:pt idx="9">
                        <c:v>0.45894667506217957</c:v>
                      </c:pt>
                      <c:pt idx="10">
                        <c:v>0.50848174095153809</c:v>
                      </c:pt>
                      <c:pt idx="11">
                        <c:v>0.46452963352203369</c:v>
                      </c:pt>
                      <c:pt idx="12">
                        <c:v>0.43690907955169678</c:v>
                      </c:pt>
                      <c:pt idx="13">
                        <c:v>0.42831453680992126</c:v>
                      </c:pt>
                      <c:pt idx="14">
                        <c:v>0.56294733285903931</c:v>
                      </c:pt>
                      <c:pt idx="15">
                        <c:v>0.48204857110977173</c:v>
                      </c:pt>
                      <c:pt idx="16">
                        <c:v>0.61446851491928101</c:v>
                      </c:pt>
                      <c:pt idx="17">
                        <c:v>0.45727387070655823</c:v>
                      </c:pt>
                      <c:pt idx="18">
                        <c:v>0.71126490831375122</c:v>
                      </c:pt>
                      <c:pt idx="19">
                        <c:v>0.49511668086051941</c:v>
                      </c:pt>
                      <c:pt idx="20">
                        <c:v>0.58382600545883179</c:v>
                      </c:pt>
                      <c:pt idx="21">
                        <c:v>0.33741781115531921</c:v>
                      </c:pt>
                      <c:pt idx="22">
                        <c:v>0.41455715894699097</c:v>
                      </c:pt>
                      <c:pt idx="23">
                        <c:v>0.446737140417099</c:v>
                      </c:pt>
                      <c:pt idx="24">
                        <c:v>0.43064939975738525</c:v>
                      </c:pt>
                      <c:pt idx="25">
                        <c:v>0.4630236029624939</c:v>
                      </c:pt>
                      <c:pt idx="26">
                        <c:v>0.44562727212905884</c:v>
                      </c:pt>
                    </c:numCache>
                  </c:numRef>
                </c:val>
                <c:extLst xmlns:c15="http://schemas.microsoft.com/office/drawing/2012/chart">
                  <c:ext xmlns:c16="http://schemas.microsoft.com/office/drawing/2014/chart" uri="{C3380CC4-5D6E-409C-BE32-E72D297353CC}">
                    <c16:uniqueId val="{00000003-95C4-4390-AE49-7AE8CC66BC8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q3f_age!$L$1</c15:sqref>
                        </c15:formulaRef>
                      </c:ext>
                    </c:extLst>
                    <c:strCache>
                      <c:ptCount val="1"/>
                      <c:pt idx="0">
                        <c:v>55-64</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q3f_age!$G$2:$G$28</c15:sqref>
                        </c15:formulaRef>
                      </c:ext>
                    </c:extLst>
                    <c:strCache>
                      <c:ptCount val="27"/>
                      <c:pt idx="0">
                        <c:v>ESP</c:v>
                      </c:pt>
                      <c:pt idx="1">
                        <c:v>CHL</c:v>
                      </c:pt>
                      <c:pt idx="2">
                        <c:v>MEX</c:v>
                      </c:pt>
                      <c:pt idx="3">
                        <c:v>IRL</c:v>
                      </c:pt>
                      <c:pt idx="4">
                        <c:v>PRT</c:v>
                      </c:pt>
                      <c:pt idx="5">
                        <c:v>PRT</c:v>
                      </c:pt>
                      <c:pt idx="6">
                        <c:v>GBR</c:v>
                      </c:pt>
                      <c:pt idx="7">
                        <c:v>CAN</c:v>
                      </c:pt>
                      <c:pt idx="8">
                        <c:v>GRC</c:v>
                      </c:pt>
                      <c:pt idx="9">
                        <c:v>NLD</c:v>
                      </c:pt>
                      <c:pt idx="10">
                        <c:v>DEU</c:v>
                      </c:pt>
                      <c:pt idx="11">
                        <c:v>ISR</c:v>
                      </c:pt>
                      <c:pt idx="12">
                        <c:v>BEL</c:v>
                      </c:pt>
                      <c:pt idx="13">
                        <c:v>USA</c:v>
                      </c:pt>
                      <c:pt idx="14">
                        <c:v>KOR</c:v>
                      </c:pt>
                      <c:pt idx="15">
                        <c:v>ITA</c:v>
                      </c:pt>
                      <c:pt idx="16">
                        <c:v>LTU</c:v>
                      </c:pt>
                      <c:pt idx="17">
                        <c:v>AUT</c:v>
                      </c:pt>
                      <c:pt idx="18">
                        <c:v>TUR</c:v>
                      </c:pt>
                      <c:pt idx="19">
                        <c:v>FRA</c:v>
                      </c:pt>
                      <c:pt idx="20">
                        <c:v>LVA</c:v>
                      </c:pt>
                      <c:pt idx="21">
                        <c:v>DNK</c:v>
                      </c:pt>
                      <c:pt idx="22">
                        <c:v>NOR</c:v>
                      </c:pt>
                      <c:pt idx="23">
                        <c:v>CHE</c:v>
                      </c:pt>
                      <c:pt idx="24">
                        <c:v>SVN</c:v>
                      </c:pt>
                      <c:pt idx="25">
                        <c:v>EST</c:v>
                      </c:pt>
                      <c:pt idx="26">
                        <c:v>FIN</c:v>
                      </c:pt>
                    </c:strCache>
                  </c:strRef>
                </c:cat>
                <c:val>
                  <c:numRef>
                    <c:extLst xmlns:c15="http://schemas.microsoft.com/office/drawing/2012/chart">
                      <c:ext xmlns:c15="http://schemas.microsoft.com/office/drawing/2012/chart" uri="{02D57815-91ED-43cb-92C2-25804820EDAC}">
                        <c15:formulaRef>
                          <c15:sqref>q3f_age!$L$2:$L$28</c15:sqref>
                        </c15:formulaRef>
                      </c:ext>
                    </c:extLst>
                    <c:numCache>
                      <c:formatCode>General</c:formatCode>
                      <c:ptCount val="27"/>
                      <c:pt idx="0">
                        <c:v>0.67738509178161621</c:v>
                      </c:pt>
                      <c:pt idx="1">
                        <c:v>0.63955396413803101</c:v>
                      </c:pt>
                      <c:pt idx="2">
                        <c:v>0.61846065521240234</c:v>
                      </c:pt>
                      <c:pt idx="3">
                        <c:v>0.20071084797382355</c:v>
                      </c:pt>
                      <c:pt idx="4">
                        <c:v>0.48718124628067017</c:v>
                      </c:pt>
                      <c:pt idx="5">
                        <c:v>0.48718124628067017</c:v>
                      </c:pt>
                      <c:pt idx="6">
                        <c:v>0.3457486629486084</c:v>
                      </c:pt>
                      <c:pt idx="7">
                        <c:v>0.36309510469436646</c:v>
                      </c:pt>
                      <c:pt idx="8">
                        <c:v>0.60927510261535645</c:v>
                      </c:pt>
                      <c:pt idx="9">
                        <c:v>0.44315639138221741</c:v>
                      </c:pt>
                      <c:pt idx="10">
                        <c:v>0.46751174330711365</c:v>
                      </c:pt>
                      <c:pt idx="11">
                        <c:v>0.47763511538505554</c:v>
                      </c:pt>
                      <c:pt idx="12">
                        <c:v>0.30787122249603271</c:v>
                      </c:pt>
                      <c:pt idx="13">
                        <c:v>0.32413184642791748</c:v>
                      </c:pt>
                      <c:pt idx="14">
                        <c:v>0.41613754630088806</c:v>
                      </c:pt>
                      <c:pt idx="15">
                        <c:v>0.39858779311180115</c:v>
                      </c:pt>
                      <c:pt idx="16">
                        <c:v>0.51651448011398315</c:v>
                      </c:pt>
                      <c:pt idx="17">
                        <c:v>0.43462446331977844</c:v>
                      </c:pt>
                      <c:pt idx="18">
                        <c:v>0.75896626710891724</c:v>
                      </c:pt>
                      <c:pt idx="19">
                        <c:v>0.3347453773021698</c:v>
                      </c:pt>
                      <c:pt idx="20">
                        <c:v>0.5183756947517395</c:v>
                      </c:pt>
                      <c:pt idx="21">
                        <c:v>0.28075194358825684</c:v>
                      </c:pt>
                      <c:pt idx="22">
                        <c:v>0.30253684520721436</c:v>
                      </c:pt>
                      <c:pt idx="23">
                        <c:v>0.46204307675361633</c:v>
                      </c:pt>
                      <c:pt idx="24">
                        <c:v>0.47977113723754883</c:v>
                      </c:pt>
                      <c:pt idx="25">
                        <c:v>0.47262385487556458</c:v>
                      </c:pt>
                      <c:pt idx="26">
                        <c:v>0.41115224361419678</c:v>
                      </c:pt>
                    </c:numCache>
                  </c:numRef>
                </c:val>
                <c:extLst xmlns:c15="http://schemas.microsoft.com/office/drawing/2012/chart">
                  <c:ext xmlns:c16="http://schemas.microsoft.com/office/drawing/2014/chart" uri="{C3380CC4-5D6E-409C-BE32-E72D297353CC}">
                    <c16:uniqueId val="{00000004-95C4-4390-AE49-7AE8CC66BC87}"/>
                  </c:ext>
                </c:extLst>
              </c15:ser>
            </c15:filteredBarSeries>
          </c:ext>
        </c:extLst>
      </c:barChart>
      <c:catAx>
        <c:axId val="80819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288112"/>
        <c:crosses val="autoZero"/>
        <c:auto val="1"/>
        <c:lblAlgn val="ctr"/>
        <c:lblOffset val="100"/>
        <c:noMultiLvlLbl val="0"/>
      </c:catAx>
      <c:valAx>
        <c:axId val="87228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193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q18f_overall!$F$1</c:f>
              <c:strCache>
                <c:ptCount val="1"/>
                <c:pt idx="0">
                  <c:v>concern</c:v>
                </c:pt>
              </c:strCache>
            </c:strRef>
          </c:tx>
          <c:spPr>
            <a:solidFill>
              <a:schemeClr val="accent1"/>
            </a:solidFill>
            <a:ln>
              <a:noFill/>
            </a:ln>
            <a:effectLst/>
          </c:spPr>
          <c:invertIfNegative val="0"/>
          <c:cat>
            <c:strRef>
              <c:f>q18f_overall!$E$2:$E$28</c:f>
              <c:strCache>
                <c:ptCount val="27"/>
                <c:pt idx="0">
                  <c:v>CHL</c:v>
                </c:pt>
                <c:pt idx="1">
                  <c:v>ISR</c:v>
                </c:pt>
                <c:pt idx="2">
                  <c:v>MEX</c:v>
                </c:pt>
                <c:pt idx="3">
                  <c:v>GRC</c:v>
                </c:pt>
                <c:pt idx="4">
                  <c:v>TUR</c:v>
                </c:pt>
                <c:pt idx="5">
                  <c:v>PRT</c:v>
                </c:pt>
                <c:pt idx="6">
                  <c:v>IRL</c:v>
                </c:pt>
                <c:pt idx="7">
                  <c:v>ITA</c:v>
                </c:pt>
                <c:pt idx="8">
                  <c:v>SVN</c:v>
                </c:pt>
                <c:pt idx="9">
                  <c:v>ESP</c:v>
                </c:pt>
                <c:pt idx="10">
                  <c:v>LTU</c:v>
                </c:pt>
                <c:pt idx="11">
                  <c:v>POL</c:v>
                </c:pt>
                <c:pt idx="12">
                  <c:v>AUT</c:v>
                </c:pt>
                <c:pt idx="13">
                  <c:v>CAN</c:v>
                </c:pt>
                <c:pt idx="14">
                  <c:v>DEU</c:v>
                </c:pt>
                <c:pt idx="15">
                  <c:v>NLD</c:v>
                </c:pt>
                <c:pt idx="16">
                  <c:v>KOR</c:v>
                </c:pt>
                <c:pt idx="17">
                  <c:v>EST</c:v>
                </c:pt>
                <c:pt idx="18">
                  <c:v>GBR</c:v>
                </c:pt>
                <c:pt idx="19">
                  <c:v>USA</c:v>
                </c:pt>
                <c:pt idx="20">
                  <c:v>CHE</c:v>
                </c:pt>
                <c:pt idx="21">
                  <c:v>LVA</c:v>
                </c:pt>
                <c:pt idx="22">
                  <c:v>NOR</c:v>
                </c:pt>
                <c:pt idx="23">
                  <c:v>FRA</c:v>
                </c:pt>
                <c:pt idx="24">
                  <c:v>BEL</c:v>
                </c:pt>
                <c:pt idx="25">
                  <c:v>FIN</c:v>
                </c:pt>
                <c:pt idx="26">
                  <c:v>DNK</c:v>
                </c:pt>
              </c:strCache>
            </c:strRef>
          </c:cat>
          <c:val>
            <c:numRef>
              <c:f>q18f_overall!$F$2:$F$28</c:f>
              <c:numCache>
                <c:formatCode>0</c:formatCode>
                <c:ptCount val="27"/>
                <c:pt idx="0">
                  <c:v>0.79403132200241089</c:v>
                </c:pt>
                <c:pt idx="1">
                  <c:v>0.79196733236312866</c:v>
                </c:pt>
                <c:pt idx="2">
                  <c:v>0.78510391712188721</c:v>
                </c:pt>
                <c:pt idx="3">
                  <c:v>0.74873864650726318</c:v>
                </c:pt>
                <c:pt idx="4">
                  <c:v>0.71079921722412109</c:v>
                </c:pt>
                <c:pt idx="5">
                  <c:v>0.67746710777282715</c:v>
                </c:pt>
                <c:pt idx="6">
                  <c:v>0.65558159351348877</c:v>
                </c:pt>
                <c:pt idx="7">
                  <c:v>0.64431357383728027</c:v>
                </c:pt>
                <c:pt idx="8">
                  <c:v>0.61750775575637817</c:v>
                </c:pt>
                <c:pt idx="9">
                  <c:v>0.61141669750213623</c:v>
                </c:pt>
                <c:pt idx="10">
                  <c:v>0.61109042167663574</c:v>
                </c:pt>
                <c:pt idx="11">
                  <c:v>0.60969942808151245</c:v>
                </c:pt>
                <c:pt idx="12">
                  <c:v>0.59831559658050537</c:v>
                </c:pt>
                <c:pt idx="13">
                  <c:v>0.58740103244781494</c:v>
                </c:pt>
                <c:pt idx="14">
                  <c:v>0.55291306972503662</c:v>
                </c:pt>
                <c:pt idx="15">
                  <c:v>0.55220401287078857</c:v>
                </c:pt>
                <c:pt idx="16">
                  <c:v>0.53910475969314575</c:v>
                </c:pt>
                <c:pt idx="17">
                  <c:v>0.53684502840042114</c:v>
                </c:pt>
                <c:pt idx="18">
                  <c:v>0.51699405908584595</c:v>
                </c:pt>
                <c:pt idx="19">
                  <c:v>0.51316344738006592</c:v>
                </c:pt>
                <c:pt idx="20">
                  <c:v>0.50952589511871338</c:v>
                </c:pt>
                <c:pt idx="21">
                  <c:v>0.49999859929084778</c:v>
                </c:pt>
                <c:pt idx="22">
                  <c:v>0.43416464328765869</c:v>
                </c:pt>
                <c:pt idx="23">
                  <c:v>0.39401832222938538</c:v>
                </c:pt>
                <c:pt idx="24">
                  <c:v>0.37185800075531006</c:v>
                </c:pt>
                <c:pt idx="25">
                  <c:v>0.34296151995658875</c:v>
                </c:pt>
                <c:pt idx="26">
                  <c:v>0.27432793378829956</c:v>
                </c:pt>
              </c:numCache>
            </c:numRef>
          </c:val>
          <c:extLst>
            <c:ext xmlns:c16="http://schemas.microsoft.com/office/drawing/2014/chart" uri="{C3380CC4-5D6E-409C-BE32-E72D297353CC}">
              <c16:uniqueId val="{00000000-F009-4588-8457-3438E133AD55}"/>
            </c:ext>
          </c:extLst>
        </c:ser>
        <c:dLbls>
          <c:showLegendKey val="0"/>
          <c:showVal val="0"/>
          <c:showCatName val="0"/>
          <c:showSerName val="0"/>
          <c:showPercent val="0"/>
          <c:showBubbleSize val="0"/>
        </c:dLbls>
        <c:gapWidth val="219"/>
        <c:overlap val="-27"/>
        <c:axId val="808191872"/>
        <c:axId val="1947782480"/>
      </c:barChart>
      <c:catAx>
        <c:axId val="80819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782480"/>
        <c:crosses val="autoZero"/>
        <c:auto val="1"/>
        <c:lblAlgn val="ctr"/>
        <c:lblOffset val="100"/>
        <c:noMultiLvlLbl val="0"/>
      </c:catAx>
      <c:valAx>
        <c:axId val="19477824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191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23690</xdr:rowOff>
    </xdr:from>
    <xdr:to>
      <xdr:col>9</xdr:col>
      <xdr:colOff>671079</xdr:colOff>
      <xdr:row>19</xdr:row>
      <xdr:rowOff>59188</xdr:rowOff>
    </xdr:to>
    <xdr:graphicFrame macro="">
      <xdr:nvGraphicFramePr>
        <xdr:cNvPr id="3" name="Chart 2">
          <a:extLst>
            <a:ext uri="{FF2B5EF4-FFF2-40B4-BE49-F238E27FC236}">
              <a16:creationId xmlns:a16="http://schemas.microsoft.com/office/drawing/2014/main" id="{A3A5F670-68F1-4DB2-B1CB-3638155AD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329264</xdr:rowOff>
    </xdr:from>
    <xdr:to>
      <xdr:col>9</xdr:col>
      <xdr:colOff>40338</xdr:colOff>
      <xdr:row>20</xdr:row>
      <xdr:rowOff>19061</xdr:rowOff>
    </xdr:to>
    <xdr:graphicFrame macro="">
      <xdr:nvGraphicFramePr>
        <xdr:cNvPr id="2" name="Chart 1">
          <a:extLst>
            <a:ext uri="{FF2B5EF4-FFF2-40B4-BE49-F238E27FC236}">
              <a16:creationId xmlns:a16="http://schemas.microsoft.com/office/drawing/2014/main" id="{6602C6A6-FE92-4BC9-90A5-68978F4EB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36793</xdr:rowOff>
    </xdr:from>
    <xdr:to>
      <xdr:col>9</xdr:col>
      <xdr:colOff>40338</xdr:colOff>
      <xdr:row>35</xdr:row>
      <xdr:rowOff>56790</xdr:rowOff>
    </xdr:to>
    <xdr:graphicFrame macro="">
      <xdr:nvGraphicFramePr>
        <xdr:cNvPr id="3" name="Chart 2">
          <a:extLst>
            <a:ext uri="{FF2B5EF4-FFF2-40B4-BE49-F238E27FC236}">
              <a16:creationId xmlns:a16="http://schemas.microsoft.com/office/drawing/2014/main" id="{EDDB0BB7-2CAE-4020-A62C-09B3D9C58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36</xdr:row>
      <xdr:rowOff>39809</xdr:rowOff>
    </xdr:from>
    <xdr:to>
      <xdr:col>9</xdr:col>
      <xdr:colOff>40338</xdr:colOff>
      <xdr:row>50</xdr:row>
      <xdr:rowOff>59806</xdr:rowOff>
    </xdr:to>
    <xdr:graphicFrame macro="">
      <xdr:nvGraphicFramePr>
        <xdr:cNvPr id="4" name="Chart 3">
          <a:extLst>
            <a:ext uri="{FF2B5EF4-FFF2-40B4-BE49-F238E27FC236}">
              <a16:creationId xmlns:a16="http://schemas.microsoft.com/office/drawing/2014/main" id="{D0B3111D-9CBA-4889-A114-14AE15CE3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51</xdr:row>
      <xdr:rowOff>16565</xdr:rowOff>
    </xdr:from>
    <xdr:to>
      <xdr:col>9</xdr:col>
      <xdr:colOff>40338</xdr:colOff>
      <xdr:row>65</xdr:row>
      <xdr:rowOff>36562</xdr:rowOff>
    </xdr:to>
    <xdr:graphicFrame macro="">
      <xdr:nvGraphicFramePr>
        <xdr:cNvPr id="5" name="Chart 4">
          <a:extLst>
            <a:ext uri="{FF2B5EF4-FFF2-40B4-BE49-F238E27FC236}">
              <a16:creationId xmlns:a16="http://schemas.microsoft.com/office/drawing/2014/main" id="{7C8CDCDB-8DAB-4C81-A7A1-787F80BC3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0.32153</cdr:x>
      <cdr:y>0.04444</cdr:y>
    </cdr:from>
    <cdr:to>
      <cdr:x>0.33423</cdr:x>
      <cdr:y>0.07333</cdr:y>
    </cdr:to>
    <cdr:sp macro="" textlink="">
      <cdr:nvSpPr>
        <cdr:cNvPr id="6" name="xlamShapesMarker">
          <a:extLst xmlns:a="http://schemas.openxmlformats.org/drawingml/2006/main">
            <a:ext uri="{FF2B5EF4-FFF2-40B4-BE49-F238E27FC236}">
              <a16:creationId xmlns:a16="http://schemas.microsoft.com/office/drawing/2014/main" id="{2C2661A6-F2CE-2B66-6729-CBF72AC989FD}"/>
            </a:ext>
          </a:extLst>
        </cdr:cNvPr>
        <cdr:cNvSpPr/>
      </cdr:nvSpPr>
      <cdr:spPr>
        <a:xfrm xmlns:a="http://schemas.openxmlformats.org/drawingml/2006/main">
          <a:off x="1871948"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miter lim="800000"/>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0.30657</cdr:x>
      <cdr:y>0.04409</cdr:y>
    </cdr:from>
    <cdr:to>
      <cdr:x>0.3313</cdr:x>
      <cdr:y>0.07222</cdr:y>
    </cdr:to>
    <cdr:sp macro="" textlink="">
      <cdr:nvSpPr>
        <cdr:cNvPr id="7" name="xlamShapesMarker">
          <a:extLst xmlns:a="http://schemas.openxmlformats.org/drawingml/2006/main">
            <a:ext uri="{FF2B5EF4-FFF2-40B4-BE49-F238E27FC236}">
              <a16:creationId xmlns:a16="http://schemas.microsoft.com/office/drawing/2014/main" id="{E7890764-E2E1-BF6D-085E-C1E9DCFA0A1F}"/>
            </a:ext>
          </a:extLst>
        </cdr:cNvPr>
        <cdr:cNvSpPr/>
      </cdr:nvSpPr>
      <cdr:spPr>
        <a:xfrm xmlns:a="http://schemas.openxmlformats.org/drawingml/2006/main">
          <a:off x="1789661" y="113154"/>
          <a:ext cx="144364" cy="72200"/>
        </a:xfrm>
        <a:prstGeom xmlns:a="http://schemas.openxmlformats.org/drawingml/2006/main" prst="rect">
          <a:avLst/>
        </a:prstGeom>
        <a:solidFill xmlns:a="http://schemas.openxmlformats.org/drawingml/2006/main">
          <a:srgbClr val="002F6C"/>
        </a:solidFill>
        <a:ln xmlns:a="http://schemas.openxmlformats.org/drawingml/2006/main" w="3175" cap="flat" cmpd="sng" algn="ctr">
          <a:noFill/>
          <a:prstDash val="solid"/>
          <a:miter lim="800000"/>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4.xml><?xml version="1.0" encoding="utf-8"?>
<c:userShapes xmlns:c="http://schemas.openxmlformats.org/drawingml/2006/chart">
  <cdr:relSizeAnchor xmlns:cdr="http://schemas.openxmlformats.org/drawingml/2006/chartDrawing">
    <cdr:from>
      <cdr:x>0.30748</cdr:x>
      <cdr:y>0.04446</cdr:y>
    </cdr:from>
    <cdr:to>
      <cdr:x>0.33221</cdr:x>
      <cdr:y>0.07259</cdr:y>
    </cdr:to>
    <cdr:sp macro="" textlink="">
      <cdr:nvSpPr>
        <cdr:cNvPr id="7" name="xlamShapesMarker">
          <a:extLst xmlns:a="http://schemas.openxmlformats.org/drawingml/2006/main">
            <a:ext uri="{FF2B5EF4-FFF2-40B4-BE49-F238E27FC236}">
              <a16:creationId xmlns:a16="http://schemas.microsoft.com/office/drawing/2014/main" id="{E7890764-E2E1-BF6D-085E-C1E9DCFA0A1F}"/>
            </a:ext>
          </a:extLst>
        </cdr:cNvPr>
        <cdr:cNvSpPr/>
      </cdr:nvSpPr>
      <cdr:spPr>
        <a:xfrm xmlns:a="http://schemas.openxmlformats.org/drawingml/2006/main">
          <a:off x="1764128" y="112757"/>
          <a:ext cx="141886" cy="71338"/>
        </a:xfrm>
        <a:prstGeom xmlns:a="http://schemas.openxmlformats.org/drawingml/2006/main" prst="rect">
          <a:avLst/>
        </a:prstGeom>
        <a:solidFill xmlns:a="http://schemas.openxmlformats.org/drawingml/2006/main">
          <a:srgbClr val="002F6C"/>
        </a:solidFill>
        <a:ln xmlns:a="http://schemas.openxmlformats.org/drawingml/2006/main" w="3175" cap="flat" cmpd="sng" algn="ctr">
          <a:noFill/>
          <a:prstDash val="solid"/>
          <a:miter lim="800000"/>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5.xml><?xml version="1.0" encoding="utf-8"?>
<c:userShapes xmlns:c="http://schemas.openxmlformats.org/drawingml/2006/chart">
  <cdr:relSizeAnchor xmlns:cdr="http://schemas.openxmlformats.org/drawingml/2006/chartDrawing">
    <cdr:from>
      <cdr:x>0.19816</cdr:x>
      <cdr:y>0.04186</cdr:y>
    </cdr:from>
    <cdr:to>
      <cdr:x>0.22289</cdr:x>
      <cdr:y>0.06999</cdr:y>
    </cdr:to>
    <cdr:sp macro="" textlink="">
      <cdr:nvSpPr>
        <cdr:cNvPr id="7" name="xlamShapesMarker">
          <a:extLst xmlns:a="http://schemas.openxmlformats.org/drawingml/2006/main">
            <a:ext uri="{FF2B5EF4-FFF2-40B4-BE49-F238E27FC236}">
              <a16:creationId xmlns:a16="http://schemas.microsoft.com/office/drawing/2014/main" id="{E7890764-E2E1-BF6D-085E-C1E9DCFA0A1F}"/>
            </a:ext>
          </a:extLst>
        </cdr:cNvPr>
        <cdr:cNvSpPr/>
      </cdr:nvSpPr>
      <cdr:spPr>
        <a:xfrm xmlns:a="http://schemas.openxmlformats.org/drawingml/2006/main">
          <a:off x="1159991" y="108629"/>
          <a:ext cx="144766" cy="72998"/>
        </a:xfrm>
        <a:prstGeom xmlns:a="http://schemas.openxmlformats.org/drawingml/2006/main" prst="rect">
          <a:avLst/>
        </a:prstGeom>
        <a:solidFill xmlns:a="http://schemas.openxmlformats.org/drawingml/2006/main">
          <a:srgbClr val="002F6C"/>
        </a:solidFill>
        <a:ln xmlns:a="http://schemas.openxmlformats.org/drawingml/2006/main" w="3175" cap="flat" cmpd="sng" algn="ctr">
          <a:noFill/>
          <a:prstDash val="solid"/>
          <a:miter lim="800000"/>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6.xml><?xml version="1.0" encoding="utf-8"?>
<c:userShapes xmlns:c="http://schemas.openxmlformats.org/drawingml/2006/chart">
  <cdr:relSizeAnchor xmlns:cdr="http://schemas.openxmlformats.org/drawingml/2006/chartDrawing">
    <cdr:from>
      <cdr:x>0.26424</cdr:x>
      <cdr:y>0.04664</cdr:y>
    </cdr:from>
    <cdr:to>
      <cdr:x>0.28897</cdr:x>
      <cdr:y>0.07477</cdr:y>
    </cdr:to>
    <cdr:sp macro="" textlink="">
      <cdr:nvSpPr>
        <cdr:cNvPr id="7" name="xlamShapesMarker">
          <a:extLst xmlns:a="http://schemas.openxmlformats.org/drawingml/2006/main">
            <a:ext uri="{FF2B5EF4-FFF2-40B4-BE49-F238E27FC236}">
              <a16:creationId xmlns:a16="http://schemas.microsoft.com/office/drawing/2014/main" id="{E7890764-E2E1-BF6D-085E-C1E9DCFA0A1F}"/>
            </a:ext>
          </a:extLst>
        </cdr:cNvPr>
        <cdr:cNvSpPr/>
      </cdr:nvSpPr>
      <cdr:spPr>
        <a:xfrm xmlns:a="http://schemas.openxmlformats.org/drawingml/2006/main">
          <a:off x="1518116" y="118764"/>
          <a:ext cx="142082" cy="71637"/>
        </a:xfrm>
        <a:prstGeom xmlns:a="http://schemas.openxmlformats.org/drawingml/2006/main" prst="rect">
          <a:avLst/>
        </a:prstGeom>
        <a:solidFill xmlns:a="http://schemas.openxmlformats.org/drawingml/2006/main">
          <a:srgbClr val="002F6C"/>
        </a:solidFill>
        <a:ln xmlns:a="http://schemas.openxmlformats.org/drawingml/2006/main" w="3175" cap="flat" cmpd="sng" algn="ctr">
          <a:noFill/>
          <a:prstDash val="solid"/>
          <a:miter lim="800000"/>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2</xdr:row>
      <xdr:rowOff>164999</xdr:rowOff>
    </xdr:from>
    <xdr:to>
      <xdr:col>11</xdr:col>
      <xdr:colOff>0</xdr:colOff>
      <xdr:row>17</xdr:row>
      <xdr:rowOff>21524</xdr:rowOff>
    </xdr:to>
    <xdr:graphicFrame macro="">
      <xdr:nvGraphicFramePr>
        <xdr:cNvPr id="2" name="Chart 1">
          <a:extLst>
            <a:ext uri="{FF2B5EF4-FFF2-40B4-BE49-F238E27FC236}">
              <a16:creationId xmlns:a16="http://schemas.microsoft.com/office/drawing/2014/main" id="{C3A12109-D34D-4BAD-85AD-8A21BF1BB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0.01182</cdr:x>
      <cdr:y>0.0476</cdr:y>
    </cdr:from>
    <cdr:to>
      <cdr:x>0.04514</cdr:x>
      <cdr:y>0.12698</cdr:y>
    </cdr:to>
    <cdr:sp macro="" textlink="">
      <cdr:nvSpPr>
        <cdr:cNvPr id="2" name="TextBox 1"/>
        <cdr:cNvSpPr txBox="1"/>
      </cdr:nvSpPr>
      <cdr:spPr>
        <a:xfrm xmlns:a="http://schemas.openxmlformats.org/drawingml/2006/main">
          <a:off x="65839" y="120316"/>
          <a:ext cx="185574" cy="20063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GB" sz="700">
            <a:latin typeface="Arial Narrow" panose="020B0606020202030204" pitchFamily="34" charset="0"/>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123825</xdr:colOff>
      <xdr:row>3</xdr:row>
      <xdr:rowOff>1681</xdr:rowOff>
    </xdr:from>
    <xdr:to>
      <xdr:col>11</xdr:col>
      <xdr:colOff>459441</xdr:colOff>
      <xdr:row>17</xdr:row>
      <xdr:rowOff>143813</xdr:rowOff>
    </xdr:to>
    <xdr:graphicFrame macro="">
      <xdr:nvGraphicFramePr>
        <xdr:cNvPr id="2" name="Chart 1">
          <a:extLst>
            <a:ext uri="{FF2B5EF4-FFF2-40B4-BE49-F238E27FC236}">
              <a16:creationId xmlns:a16="http://schemas.microsoft.com/office/drawing/2014/main" id="{F318DA91-52D5-4724-952B-2A5202C4F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0.09396</cdr:x>
      <cdr:y>0.06008</cdr:y>
    </cdr:from>
    <cdr:to>
      <cdr:x>0.12728</cdr:x>
      <cdr:y>0.13946</cdr:y>
    </cdr:to>
    <cdr:sp macro="" textlink="">
      <cdr:nvSpPr>
        <cdr:cNvPr id="2" name="TextBox 1"/>
        <cdr:cNvSpPr txBox="1"/>
      </cdr:nvSpPr>
      <cdr:spPr>
        <a:xfrm xmlns:a="http://schemas.openxmlformats.org/drawingml/2006/main">
          <a:off x="742702" y="171753"/>
          <a:ext cx="263381" cy="22693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GB" sz="700">
            <a:latin typeface="Arial Narrow" panose="020B0606020202030204" pitchFamily="34" charset="0"/>
          </a:endParaRPr>
        </a:p>
        <a:p xmlns:a="http://schemas.openxmlformats.org/drawingml/2006/main">
          <a:endParaRPr lang="en-GB" sz="700">
            <a:latin typeface="Arial Narrow" panose="020B0606020202030204" pitchFamily="34" charset="0"/>
          </a:endParaRPr>
        </a:p>
      </cdr:txBody>
    </cdr:sp>
  </cdr:relSizeAnchor>
</c:userShapes>
</file>

<file path=xl/drawings/drawing11.xml><?xml version="1.0" encoding="utf-8"?>
<xdr:wsDr xmlns:xdr="http://schemas.openxmlformats.org/drawingml/2006/spreadsheetDrawing" xmlns:a="http://schemas.openxmlformats.org/drawingml/2006/main">
  <xdr:twoCellAnchor>
    <xdr:from>
      <xdr:col>0</xdr:col>
      <xdr:colOff>0</xdr:colOff>
      <xdr:row>5</xdr:row>
      <xdr:rowOff>23690</xdr:rowOff>
    </xdr:from>
    <xdr:to>
      <xdr:col>9</xdr:col>
      <xdr:colOff>600075</xdr:colOff>
      <xdr:row>19</xdr:row>
      <xdr:rowOff>59188</xdr:rowOff>
    </xdr:to>
    <xdr:graphicFrame macro="">
      <xdr:nvGraphicFramePr>
        <xdr:cNvPr id="2" name="Chart 1">
          <a:extLst>
            <a:ext uri="{FF2B5EF4-FFF2-40B4-BE49-F238E27FC236}">
              <a16:creationId xmlns:a16="http://schemas.microsoft.com/office/drawing/2014/main" id="{D1CDFB37-3724-419E-A7C1-1624C7BE8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228600</xdr:colOff>
      <xdr:row>4</xdr:row>
      <xdr:rowOff>160215</xdr:rowOff>
    </xdr:from>
    <xdr:to>
      <xdr:col>8</xdr:col>
      <xdr:colOff>1255059</xdr:colOff>
      <xdr:row>19</xdr:row>
      <xdr:rowOff>2038</xdr:rowOff>
    </xdr:to>
    <xdr:graphicFrame macro="">
      <xdr:nvGraphicFramePr>
        <xdr:cNvPr id="2" name="Chart 1">
          <a:extLst>
            <a:ext uri="{FF2B5EF4-FFF2-40B4-BE49-F238E27FC236}">
              <a16:creationId xmlns:a16="http://schemas.microsoft.com/office/drawing/2014/main" id="{FCA84F76-67E7-4448-819E-D8088F221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0.32402</cdr:x>
      <cdr:y>0.04433</cdr:y>
    </cdr:from>
    <cdr:to>
      <cdr:x>0.33672</cdr:x>
      <cdr:y>0.07315</cdr:y>
    </cdr:to>
    <cdr:sp macro="" textlink="">
      <cdr:nvSpPr>
        <cdr:cNvPr id="6" name="xlamShapesMarker">
          <a:extLst xmlns:a="http://schemas.openxmlformats.org/drawingml/2006/main">
            <a:ext uri="{FF2B5EF4-FFF2-40B4-BE49-F238E27FC236}">
              <a16:creationId xmlns:a16="http://schemas.microsoft.com/office/drawing/2014/main" id="{F5499DDE-BBBB-B54B-E504-A8B543564A17}"/>
            </a:ext>
          </a:extLst>
        </cdr:cNvPr>
        <cdr:cNvSpPr/>
      </cdr:nvSpPr>
      <cdr:spPr>
        <a:xfrm xmlns:a="http://schemas.openxmlformats.org/drawingml/2006/main">
          <a:off x="1886426"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miter lim="800000"/>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0.30239</cdr:x>
      <cdr:y>0.04229</cdr:y>
    </cdr:from>
    <cdr:to>
      <cdr:x>0.32712</cdr:x>
      <cdr:y>0.07035</cdr:y>
    </cdr:to>
    <cdr:sp macro="" textlink="">
      <cdr:nvSpPr>
        <cdr:cNvPr id="7" name="xlamShapesMarker">
          <a:extLst xmlns:a="http://schemas.openxmlformats.org/drawingml/2006/main">
            <a:ext uri="{FF2B5EF4-FFF2-40B4-BE49-F238E27FC236}">
              <a16:creationId xmlns:a16="http://schemas.microsoft.com/office/drawing/2014/main" id="{1CE7950D-73D2-9C90-C6C4-03B41243AA81}"/>
            </a:ext>
          </a:extLst>
        </cdr:cNvPr>
        <cdr:cNvSpPr/>
      </cdr:nvSpPr>
      <cdr:spPr>
        <a:xfrm xmlns:a="http://schemas.openxmlformats.org/drawingml/2006/main">
          <a:off x="1760499" y="108520"/>
          <a:ext cx="144000" cy="72000"/>
        </a:xfrm>
        <a:prstGeom xmlns:a="http://schemas.openxmlformats.org/drawingml/2006/main" prst="rect">
          <a:avLst/>
        </a:prstGeom>
        <a:solidFill xmlns:a="http://schemas.openxmlformats.org/drawingml/2006/main">
          <a:srgbClr val="002F6C"/>
        </a:solidFill>
        <a:ln xmlns:a="http://schemas.openxmlformats.org/drawingml/2006/main" w="3175" cap="flat" cmpd="sng" algn="ctr">
          <a:noFill/>
          <a:prstDash val="solid"/>
          <a:miter lim="800000"/>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0.66945</cdr:x>
      <cdr:y>0.04433</cdr:y>
    </cdr:from>
    <cdr:to>
      <cdr:x>0.68215</cdr:x>
      <cdr:y>0.07315</cdr:y>
    </cdr:to>
    <cdr:sp macro="" textlink="">
      <cdr:nvSpPr>
        <cdr:cNvPr id="8" name="xlamShapesMarker">
          <a:extLst xmlns:a="http://schemas.openxmlformats.org/drawingml/2006/main">
            <a:ext uri="{FF2B5EF4-FFF2-40B4-BE49-F238E27FC236}">
              <a16:creationId xmlns:a16="http://schemas.microsoft.com/office/drawing/2014/main" id="{2F10F386-7139-0A64-C3A5-F35056EEC272}"/>
            </a:ext>
          </a:extLst>
        </cdr:cNvPr>
        <cdr:cNvSpPr/>
      </cdr:nvSpPr>
      <cdr:spPr>
        <a:xfrm xmlns:a="http://schemas.openxmlformats.org/drawingml/2006/main">
          <a:off x="3897519"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miter lim="800000"/>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0.64782</cdr:x>
      <cdr:y>0.04229</cdr:y>
    </cdr:from>
    <cdr:to>
      <cdr:x>0.67255</cdr:x>
      <cdr:y>0.07035</cdr:y>
    </cdr:to>
    <cdr:sp macro="" textlink="">
      <cdr:nvSpPr>
        <cdr:cNvPr id="9" name="xlamShapesMarker">
          <a:extLst xmlns:a="http://schemas.openxmlformats.org/drawingml/2006/main">
            <a:ext uri="{FF2B5EF4-FFF2-40B4-BE49-F238E27FC236}">
              <a16:creationId xmlns:a16="http://schemas.microsoft.com/office/drawing/2014/main" id="{C2EFAFC7-7B75-3647-E004-8FB5E05BB591}"/>
            </a:ext>
          </a:extLst>
        </cdr:cNvPr>
        <cdr:cNvSpPr/>
      </cdr:nvSpPr>
      <cdr:spPr>
        <a:xfrm xmlns:a="http://schemas.openxmlformats.org/drawingml/2006/main">
          <a:off x="3771592" y="108520"/>
          <a:ext cx="144000" cy="72000"/>
        </a:xfrm>
        <a:prstGeom xmlns:a="http://schemas.openxmlformats.org/drawingml/2006/main" prst="rect">
          <a:avLst/>
        </a:prstGeom>
        <a:solidFill xmlns:a="http://schemas.openxmlformats.org/drawingml/2006/main">
          <a:srgbClr val="7FA8D9"/>
        </a:solidFill>
        <a:ln xmlns:a="http://schemas.openxmlformats.org/drawingml/2006/main" w="3175" cap="flat" cmpd="sng" algn="ctr">
          <a:noFill/>
          <a:prstDash val="solid"/>
          <a:miter lim="800000"/>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4.xml><?xml version="1.0" encoding="utf-8"?>
<xdr:wsDr xmlns:xdr="http://schemas.openxmlformats.org/drawingml/2006/spreadsheetDrawing" xmlns:a="http://schemas.openxmlformats.org/drawingml/2006/main">
  <xdr:twoCellAnchor>
    <xdr:from>
      <xdr:col>13</xdr:col>
      <xdr:colOff>434975</xdr:colOff>
      <xdr:row>4</xdr:row>
      <xdr:rowOff>95250</xdr:rowOff>
    </xdr:from>
    <xdr:to>
      <xdr:col>21</xdr:col>
      <xdr:colOff>135332</xdr:colOff>
      <xdr:row>19</xdr:row>
      <xdr:rowOff>69126</xdr:rowOff>
    </xdr:to>
    <xdr:graphicFrame macro="">
      <xdr:nvGraphicFramePr>
        <xdr:cNvPr id="2" name="Chart 1">
          <a:extLst>
            <a:ext uri="{FF2B5EF4-FFF2-40B4-BE49-F238E27FC236}">
              <a16:creationId xmlns:a16="http://schemas.microsoft.com/office/drawing/2014/main" id="{4D121397-A4A6-4105-8FD5-0FF9F2ED5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10</xdr:col>
      <xdr:colOff>44450</xdr:colOff>
      <xdr:row>6</xdr:row>
      <xdr:rowOff>168275</xdr:rowOff>
    </xdr:from>
    <xdr:to>
      <xdr:col>17</xdr:col>
      <xdr:colOff>349250</xdr:colOff>
      <xdr:row>22</xdr:row>
      <xdr:rowOff>19050</xdr:rowOff>
    </xdr:to>
    <xdr:graphicFrame macro="">
      <xdr:nvGraphicFramePr>
        <xdr:cNvPr id="2" name="Chart 1">
          <a:extLst>
            <a:ext uri="{FF2B5EF4-FFF2-40B4-BE49-F238E27FC236}">
              <a16:creationId xmlns:a16="http://schemas.microsoft.com/office/drawing/2014/main" id="{CA2E06F5-7212-4A1E-A48F-C2E1CC36D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in.oecd.org\sdataSTD\How%20Is%20Life\Essential%20updating\Updating\2.%20Income%20and%20wealth\1.1_IW%20I_HH%20HADI_updating_new.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ain.oecd.org\transfer\REGIONAL%20DATABASE\Database%20update\2013%20input%20file\From%20other%20sources\JPN_VEH_THEF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oecdshare.oecd.org/Temp/MASTER_INPU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oecdshare.oecd.org/Documents%20and%20Settings/gonnard_e/My%20Documents/4.%20RAAG%20PUBLICATION/RAG_2013/RAG13_GDPpc_CRISI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Y:\R@G_2018\Chapter2%20-%20Well-being\Job_v3%20(Autosav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 Nominal HADI_BLI"/>
      <sheetName val="HH Nominal Net HADI_BLI"/>
      <sheetName val="Graph Real HADI"/>
      <sheetName val="Graph for checks over time HADI"/>
      <sheetName val="Tassi crescita"/>
      <sheetName val="Tassi crescita (annuale)"/>
      <sheetName val="HH Real Net HADI"/>
      <sheetName val="Table 1.5 Continued"/>
      <sheetName val="HH gross adj disp income"/>
      <sheetName val="Consumption of fixed capital"/>
      <sheetName val="Deflator actual ind consump"/>
      <sheetName val="PPP actual ind consump"/>
      <sheetName val="Population"/>
      <sheetName val="Metadata (HADI)"/>
      <sheetName val="Historical data"/>
      <sheetName val="TUR mail"/>
      <sheetName val="AUS Data1"/>
      <sheetName val="HADI HIL v1 and v2"/>
      <sheetName val="Table 2.11"/>
      <sheetName val="BRA_0S1004"/>
      <sheetName val="HH Real Net HADI (not per cap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B1" t="str">
            <v>Gross disposable income ;</v>
          </cell>
          <cell r="C1" t="str">
            <v>Social assistance benefits in kind ;</v>
          </cell>
          <cell r="D1" t="str">
            <v>Transfers of individual non-market goods and services from general government ;</v>
          </cell>
          <cell r="E1" t="str">
            <v>Total social transfers in kind ;</v>
          </cell>
          <cell r="F1" t="str">
            <v>ADJUSTED DISPOSABLE INCOME ;</v>
          </cell>
          <cell r="G1" t="str">
            <v>Actual individual consumption ;</v>
          </cell>
          <cell r="H1" t="str">
            <v>Net saving ;</v>
          </cell>
          <cell r="I1" t="str">
            <v>Consumption of fixed capital ;</v>
          </cell>
          <cell r="J1" t="str">
            <v>TOTAL SAVING AND USE OF ADJUSTED DISPOSABLE INCOME ;</v>
          </cell>
        </row>
        <row r="2">
          <cell r="A2" t="str">
            <v>Unit</v>
          </cell>
          <cell r="B2" t="str">
            <v>$ Millions</v>
          </cell>
          <cell r="C2" t="str">
            <v>$ Millions</v>
          </cell>
          <cell r="D2" t="str">
            <v>$ Millions</v>
          </cell>
          <cell r="E2" t="str">
            <v>$ Millions</v>
          </cell>
          <cell r="F2" t="str">
            <v>$ Millions</v>
          </cell>
          <cell r="G2" t="str">
            <v>$ Millions</v>
          </cell>
          <cell r="H2" t="str">
            <v>$ Millions</v>
          </cell>
          <cell r="I2" t="str">
            <v>$ Millions</v>
          </cell>
          <cell r="J2" t="str">
            <v>$ Millions</v>
          </cell>
        </row>
        <row r="3">
          <cell r="A3" t="str">
            <v>Series Type</v>
          </cell>
          <cell r="B3" t="str">
            <v>Original</v>
          </cell>
          <cell r="C3" t="str">
            <v>Original</v>
          </cell>
          <cell r="D3" t="str">
            <v>Original</v>
          </cell>
          <cell r="E3" t="str">
            <v>Original</v>
          </cell>
          <cell r="F3" t="str">
            <v>Original</v>
          </cell>
          <cell r="G3" t="str">
            <v>Original</v>
          </cell>
          <cell r="H3" t="str">
            <v>Original</v>
          </cell>
          <cell r="I3" t="str">
            <v>Original</v>
          </cell>
          <cell r="J3" t="str">
            <v>Original</v>
          </cell>
        </row>
        <row r="4">
          <cell r="A4" t="str">
            <v>Data Type</v>
          </cell>
          <cell r="B4" t="str">
            <v>DERIVED</v>
          </cell>
          <cell r="C4" t="str">
            <v>DERIVED</v>
          </cell>
          <cell r="D4" t="str">
            <v>DERIVED</v>
          </cell>
          <cell r="E4" t="str">
            <v>DERIVED</v>
          </cell>
          <cell r="F4" t="str">
            <v>DERIVED</v>
          </cell>
          <cell r="G4" t="str">
            <v>DERIVED</v>
          </cell>
          <cell r="H4" t="str">
            <v>DERIVED</v>
          </cell>
          <cell r="I4" t="str">
            <v>DERIVED</v>
          </cell>
          <cell r="J4" t="str">
            <v>DERIVED</v>
          </cell>
        </row>
        <row r="5">
          <cell r="A5" t="str">
            <v>Frequency</v>
          </cell>
          <cell r="B5" t="str">
            <v>Annual</v>
          </cell>
          <cell r="C5" t="str">
            <v>Annual</v>
          </cell>
          <cell r="D5" t="str">
            <v>Annual</v>
          </cell>
          <cell r="E5" t="str">
            <v>Annual</v>
          </cell>
          <cell r="F5" t="str">
            <v>Annual</v>
          </cell>
          <cell r="G5" t="str">
            <v>Annual</v>
          </cell>
          <cell r="H5" t="str">
            <v>Annual</v>
          </cell>
          <cell r="I5" t="str">
            <v>Annual</v>
          </cell>
          <cell r="J5" t="str">
            <v>Annual</v>
          </cell>
        </row>
        <row r="6">
          <cell r="A6" t="str">
            <v>Collection Month</v>
          </cell>
          <cell r="B6">
            <v>6</v>
          </cell>
          <cell r="C6">
            <v>6</v>
          </cell>
          <cell r="D6">
            <v>6</v>
          </cell>
          <cell r="E6">
            <v>6</v>
          </cell>
          <cell r="F6">
            <v>6</v>
          </cell>
          <cell r="G6">
            <v>6</v>
          </cell>
          <cell r="H6">
            <v>6</v>
          </cell>
          <cell r="I6">
            <v>6</v>
          </cell>
          <cell r="J6">
            <v>6</v>
          </cell>
        </row>
        <row r="7">
          <cell r="A7" t="str">
            <v>Series Start</v>
          </cell>
          <cell r="B7">
            <v>22068</v>
          </cell>
          <cell r="C7">
            <v>22068</v>
          </cell>
          <cell r="D7">
            <v>22068</v>
          </cell>
          <cell r="E7">
            <v>22068</v>
          </cell>
          <cell r="F7">
            <v>22068</v>
          </cell>
          <cell r="G7">
            <v>22068</v>
          </cell>
          <cell r="H7">
            <v>22068</v>
          </cell>
          <cell r="I7">
            <v>22068</v>
          </cell>
          <cell r="J7">
            <v>22068</v>
          </cell>
        </row>
        <row r="8">
          <cell r="A8" t="str">
            <v>Series End</v>
          </cell>
          <cell r="B8">
            <v>40695</v>
          </cell>
          <cell r="C8">
            <v>40695</v>
          </cell>
          <cell r="D8">
            <v>40695</v>
          </cell>
          <cell r="E8">
            <v>40695</v>
          </cell>
          <cell r="F8">
            <v>40695</v>
          </cell>
          <cell r="G8">
            <v>40695</v>
          </cell>
          <cell r="H8">
            <v>40695</v>
          </cell>
          <cell r="I8">
            <v>40695</v>
          </cell>
          <cell r="J8">
            <v>40695</v>
          </cell>
        </row>
        <row r="9">
          <cell r="A9" t="str">
            <v>No. Obs</v>
          </cell>
          <cell r="B9">
            <v>52</v>
          </cell>
          <cell r="C9">
            <v>52</v>
          </cell>
          <cell r="D9">
            <v>52</v>
          </cell>
          <cell r="E9">
            <v>52</v>
          </cell>
          <cell r="F9">
            <v>52</v>
          </cell>
          <cell r="G9">
            <v>52</v>
          </cell>
          <cell r="H9">
            <v>52</v>
          </cell>
          <cell r="I9">
            <v>52</v>
          </cell>
          <cell r="J9">
            <v>52</v>
          </cell>
        </row>
        <row r="10">
          <cell r="A10" t="str">
            <v>Series ID</v>
          </cell>
          <cell r="B10" t="str">
            <v>A2421989L</v>
          </cell>
          <cell r="C10" t="str">
            <v>A2421990W</v>
          </cell>
          <cell r="D10" t="str">
            <v>A2421991X</v>
          </cell>
          <cell r="E10" t="str">
            <v>A2421992A</v>
          </cell>
          <cell r="F10" t="str">
            <v>A2421993C</v>
          </cell>
          <cell r="G10" t="str">
            <v>A2421994F</v>
          </cell>
          <cell r="H10" t="str">
            <v>A2421995J</v>
          </cell>
          <cell r="I10" t="str">
            <v>A2421996K</v>
          </cell>
          <cell r="J10" t="str">
            <v>A2421997L</v>
          </cell>
        </row>
        <row r="11">
          <cell r="A11">
            <v>22068</v>
          </cell>
          <cell r="B11">
            <v>12743</v>
          </cell>
          <cell r="C11">
            <v>134</v>
          </cell>
          <cell r="D11">
            <v>613</v>
          </cell>
          <cell r="E11">
            <v>747</v>
          </cell>
          <cell r="F11">
            <v>13489</v>
          </cell>
          <cell r="G11">
            <v>10140</v>
          </cell>
          <cell r="H11">
            <v>1767</v>
          </cell>
          <cell r="I11">
            <v>1582</v>
          </cell>
          <cell r="J11">
            <v>13489</v>
          </cell>
        </row>
        <row r="12">
          <cell r="A12">
            <v>22433</v>
          </cell>
          <cell r="B12">
            <v>13438</v>
          </cell>
          <cell r="C12">
            <v>148</v>
          </cell>
          <cell r="D12">
            <v>698</v>
          </cell>
          <cell r="E12">
            <v>846</v>
          </cell>
          <cell r="F12">
            <v>14284</v>
          </cell>
          <cell r="G12">
            <v>10829</v>
          </cell>
          <cell r="H12">
            <v>1854</v>
          </cell>
          <cell r="I12">
            <v>1602</v>
          </cell>
          <cell r="J12">
            <v>14284</v>
          </cell>
        </row>
        <row r="13">
          <cell r="A13">
            <v>22798</v>
          </cell>
          <cell r="B13">
            <v>13716</v>
          </cell>
          <cell r="C13">
            <v>163</v>
          </cell>
          <cell r="D13">
            <v>752</v>
          </cell>
          <cell r="E13">
            <v>915</v>
          </cell>
          <cell r="F13">
            <v>14631</v>
          </cell>
          <cell r="G13">
            <v>11204</v>
          </cell>
          <cell r="H13">
            <v>1868</v>
          </cell>
          <cell r="I13">
            <v>1558</v>
          </cell>
          <cell r="J13">
            <v>14631</v>
          </cell>
        </row>
        <row r="14">
          <cell r="A14">
            <v>23163</v>
          </cell>
          <cell r="B14">
            <v>14641</v>
          </cell>
          <cell r="C14">
            <v>179</v>
          </cell>
          <cell r="D14">
            <v>822</v>
          </cell>
          <cell r="E14">
            <v>1001</v>
          </cell>
          <cell r="F14">
            <v>15641</v>
          </cell>
          <cell r="G14">
            <v>12012</v>
          </cell>
          <cell r="H14">
            <v>1994</v>
          </cell>
          <cell r="I14">
            <v>1635</v>
          </cell>
          <cell r="J14">
            <v>15641</v>
          </cell>
        </row>
        <row r="15">
          <cell r="A15">
            <v>23529</v>
          </cell>
          <cell r="B15">
            <v>16082</v>
          </cell>
          <cell r="C15">
            <v>192</v>
          </cell>
          <cell r="D15">
            <v>897</v>
          </cell>
          <cell r="E15">
            <v>1089</v>
          </cell>
          <cell r="F15">
            <v>17171</v>
          </cell>
          <cell r="G15">
            <v>13061</v>
          </cell>
          <cell r="H15">
            <v>2318</v>
          </cell>
          <cell r="I15">
            <v>1792</v>
          </cell>
          <cell r="J15">
            <v>17171</v>
          </cell>
        </row>
        <row r="16">
          <cell r="A16">
            <v>23894</v>
          </cell>
          <cell r="B16">
            <v>17248</v>
          </cell>
          <cell r="C16">
            <v>211</v>
          </cell>
          <cell r="D16">
            <v>994</v>
          </cell>
          <cell r="E16">
            <v>1205</v>
          </cell>
          <cell r="F16">
            <v>18453</v>
          </cell>
          <cell r="G16">
            <v>14186</v>
          </cell>
          <cell r="H16">
            <v>2215</v>
          </cell>
          <cell r="I16">
            <v>2052</v>
          </cell>
          <cell r="J16">
            <v>18453</v>
          </cell>
        </row>
        <row r="17">
          <cell r="A17">
            <v>24259</v>
          </cell>
          <cell r="B17">
            <v>18084</v>
          </cell>
          <cell r="C17">
            <v>237</v>
          </cell>
          <cell r="D17">
            <v>1101</v>
          </cell>
          <cell r="E17">
            <v>1338</v>
          </cell>
          <cell r="F17">
            <v>19423</v>
          </cell>
          <cell r="G17">
            <v>15139</v>
          </cell>
          <cell r="H17">
            <v>2220</v>
          </cell>
          <cell r="I17">
            <v>2063</v>
          </cell>
          <cell r="J17">
            <v>19423</v>
          </cell>
        </row>
        <row r="18">
          <cell r="A18">
            <v>24624</v>
          </cell>
          <cell r="B18">
            <v>20106</v>
          </cell>
          <cell r="C18">
            <v>259</v>
          </cell>
          <cell r="D18">
            <v>1221</v>
          </cell>
          <cell r="E18">
            <v>1480</v>
          </cell>
          <cell r="F18">
            <v>21587</v>
          </cell>
          <cell r="G18">
            <v>16397</v>
          </cell>
          <cell r="H18">
            <v>2988</v>
          </cell>
          <cell r="I18">
            <v>2201</v>
          </cell>
          <cell r="J18">
            <v>21587</v>
          </cell>
        </row>
        <row r="19">
          <cell r="A19">
            <v>24990</v>
          </cell>
          <cell r="B19">
            <v>21203</v>
          </cell>
          <cell r="C19">
            <v>280</v>
          </cell>
          <cell r="D19">
            <v>1350</v>
          </cell>
          <cell r="E19">
            <v>1630</v>
          </cell>
          <cell r="F19">
            <v>22833</v>
          </cell>
          <cell r="G19">
            <v>17903</v>
          </cell>
          <cell r="H19">
            <v>2498</v>
          </cell>
          <cell r="I19">
            <v>2432</v>
          </cell>
          <cell r="J19">
            <v>22833</v>
          </cell>
        </row>
        <row r="20">
          <cell r="A20">
            <v>25355</v>
          </cell>
          <cell r="B20">
            <v>23519</v>
          </cell>
          <cell r="C20">
            <v>311</v>
          </cell>
          <cell r="D20">
            <v>1510</v>
          </cell>
          <cell r="E20">
            <v>1821</v>
          </cell>
          <cell r="F20">
            <v>25340</v>
          </cell>
          <cell r="G20">
            <v>19533</v>
          </cell>
          <cell r="H20">
            <v>3322</v>
          </cell>
          <cell r="I20">
            <v>2486</v>
          </cell>
          <cell r="J20">
            <v>25340</v>
          </cell>
        </row>
        <row r="21">
          <cell r="A21">
            <v>25720</v>
          </cell>
          <cell r="B21">
            <v>26255</v>
          </cell>
          <cell r="C21">
            <v>367</v>
          </cell>
          <cell r="D21">
            <v>1706</v>
          </cell>
          <cell r="E21">
            <v>2073</v>
          </cell>
          <cell r="F21">
            <v>28328</v>
          </cell>
          <cell r="G21">
            <v>21691</v>
          </cell>
          <cell r="H21">
            <v>3465</v>
          </cell>
          <cell r="I21">
            <v>3172</v>
          </cell>
          <cell r="J21">
            <v>28328</v>
          </cell>
        </row>
        <row r="22">
          <cell r="A22">
            <v>26085</v>
          </cell>
          <cell r="B22">
            <v>28857</v>
          </cell>
          <cell r="C22">
            <v>445</v>
          </cell>
          <cell r="D22">
            <v>2021</v>
          </cell>
          <cell r="E22">
            <v>2466</v>
          </cell>
          <cell r="F22">
            <v>31322</v>
          </cell>
          <cell r="G22">
            <v>24076</v>
          </cell>
          <cell r="H22">
            <v>4068</v>
          </cell>
          <cell r="I22">
            <v>3179</v>
          </cell>
          <cell r="J22">
            <v>31322</v>
          </cell>
        </row>
        <row r="23">
          <cell r="A23">
            <v>26451</v>
          </cell>
          <cell r="B23">
            <v>31962</v>
          </cell>
          <cell r="C23">
            <v>555</v>
          </cell>
          <cell r="D23">
            <v>2363</v>
          </cell>
          <cell r="E23">
            <v>2918</v>
          </cell>
          <cell r="F23">
            <v>34880</v>
          </cell>
          <cell r="G23">
            <v>26829</v>
          </cell>
          <cell r="H23">
            <v>4558</v>
          </cell>
          <cell r="I23">
            <v>3493</v>
          </cell>
          <cell r="J23">
            <v>34880</v>
          </cell>
        </row>
        <row r="24">
          <cell r="A24">
            <v>26816</v>
          </cell>
          <cell r="B24">
            <v>36287</v>
          </cell>
          <cell r="C24">
            <v>658</v>
          </cell>
          <cell r="D24">
            <v>2753</v>
          </cell>
          <cell r="E24">
            <v>3411</v>
          </cell>
          <cell r="F24">
            <v>39698</v>
          </cell>
          <cell r="G24">
            <v>30134</v>
          </cell>
          <cell r="H24">
            <v>5956</v>
          </cell>
          <cell r="I24">
            <v>3607</v>
          </cell>
          <cell r="J24">
            <v>39698</v>
          </cell>
        </row>
        <row r="25">
          <cell r="A25">
            <v>27181</v>
          </cell>
          <cell r="B25">
            <v>44169</v>
          </cell>
          <cell r="C25">
            <v>745</v>
          </cell>
          <cell r="D25">
            <v>3426</v>
          </cell>
          <cell r="E25">
            <v>4171</v>
          </cell>
          <cell r="F25">
            <v>48339</v>
          </cell>
          <cell r="G25">
            <v>36019</v>
          </cell>
          <cell r="H25">
            <v>7928</v>
          </cell>
          <cell r="I25">
            <v>4392</v>
          </cell>
          <cell r="J25">
            <v>48339</v>
          </cell>
        </row>
        <row r="26">
          <cell r="A26">
            <v>27546</v>
          </cell>
          <cell r="B26">
            <v>52874</v>
          </cell>
          <cell r="C26">
            <v>965</v>
          </cell>
          <cell r="D26">
            <v>4843</v>
          </cell>
          <cell r="E26">
            <v>5808</v>
          </cell>
          <cell r="F26">
            <v>58682</v>
          </cell>
          <cell r="G26">
            <v>44960</v>
          </cell>
          <cell r="H26">
            <v>9450</v>
          </cell>
          <cell r="I26">
            <v>4271</v>
          </cell>
          <cell r="J26">
            <v>58682</v>
          </cell>
        </row>
        <row r="27">
          <cell r="A27">
            <v>27912</v>
          </cell>
          <cell r="B27">
            <v>60776</v>
          </cell>
          <cell r="C27">
            <v>1458</v>
          </cell>
          <cell r="D27">
            <v>6445</v>
          </cell>
          <cell r="E27">
            <v>7903</v>
          </cell>
          <cell r="F27">
            <v>68679</v>
          </cell>
          <cell r="G27">
            <v>53725</v>
          </cell>
          <cell r="H27">
            <v>10027</v>
          </cell>
          <cell r="I27">
            <v>4926</v>
          </cell>
          <cell r="J27">
            <v>68679</v>
          </cell>
        </row>
        <row r="28">
          <cell r="A28">
            <v>28277</v>
          </cell>
          <cell r="B28">
            <v>70037</v>
          </cell>
          <cell r="C28">
            <v>1232</v>
          </cell>
          <cell r="D28">
            <v>7674</v>
          </cell>
          <cell r="E28">
            <v>8906</v>
          </cell>
          <cell r="F28">
            <v>78943</v>
          </cell>
          <cell r="G28">
            <v>62612</v>
          </cell>
          <cell r="H28">
            <v>10901</v>
          </cell>
          <cell r="I28">
            <v>5430</v>
          </cell>
          <cell r="J28">
            <v>78943</v>
          </cell>
        </row>
        <row r="29">
          <cell r="A29">
            <v>28642</v>
          </cell>
          <cell r="B29">
            <v>77388</v>
          </cell>
          <cell r="C29">
            <v>1110</v>
          </cell>
          <cell r="D29">
            <v>8598</v>
          </cell>
          <cell r="E29">
            <v>9708</v>
          </cell>
          <cell r="F29">
            <v>87096</v>
          </cell>
          <cell r="G29">
            <v>69545</v>
          </cell>
          <cell r="H29">
            <v>11482</v>
          </cell>
          <cell r="I29">
            <v>6069</v>
          </cell>
          <cell r="J29">
            <v>87096</v>
          </cell>
        </row>
        <row r="30">
          <cell r="A30">
            <v>29007</v>
          </cell>
          <cell r="B30">
            <v>86925</v>
          </cell>
          <cell r="C30">
            <v>1317</v>
          </cell>
          <cell r="D30">
            <v>9378</v>
          </cell>
          <cell r="E30">
            <v>10695</v>
          </cell>
          <cell r="F30">
            <v>97620</v>
          </cell>
          <cell r="G30">
            <v>77133</v>
          </cell>
          <cell r="H30">
            <v>13907</v>
          </cell>
          <cell r="I30">
            <v>6579</v>
          </cell>
          <cell r="J30">
            <v>97620</v>
          </cell>
        </row>
        <row r="31">
          <cell r="A31">
            <v>29373</v>
          </cell>
          <cell r="B31">
            <v>96706</v>
          </cell>
          <cell r="C31">
            <v>1465</v>
          </cell>
          <cell r="D31">
            <v>10485</v>
          </cell>
          <cell r="E31">
            <v>11950</v>
          </cell>
          <cell r="F31">
            <v>108656</v>
          </cell>
          <cell r="G31">
            <v>86458</v>
          </cell>
          <cell r="H31">
            <v>14664</v>
          </cell>
          <cell r="I31">
            <v>7534</v>
          </cell>
          <cell r="J31">
            <v>108656</v>
          </cell>
        </row>
        <row r="32">
          <cell r="A32">
            <v>29738</v>
          </cell>
          <cell r="B32">
            <v>109460</v>
          </cell>
          <cell r="C32">
            <v>1765</v>
          </cell>
          <cell r="D32">
            <v>12060</v>
          </cell>
          <cell r="E32">
            <v>13825</v>
          </cell>
          <cell r="F32">
            <v>123285</v>
          </cell>
          <cell r="G32">
            <v>98548</v>
          </cell>
          <cell r="H32">
            <v>16230</v>
          </cell>
          <cell r="I32">
            <v>8507</v>
          </cell>
          <cell r="J32">
            <v>123285</v>
          </cell>
        </row>
        <row r="33">
          <cell r="A33">
            <v>30103</v>
          </cell>
          <cell r="B33">
            <v>125343</v>
          </cell>
          <cell r="C33">
            <v>2115</v>
          </cell>
          <cell r="D33">
            <v>13756</v>
          </cell>
          <cell r="E33">
            <v>15871</v>
          </cell>
          <cell r="F33">
            <v>141215</v>
          </cell>
          <cell r="G33">
            <v>113472</v>
          </cell>
          <cell r="H33">
            <v>18058</v>
          </cell>
          <cell r="I33">
            <v>9684</v>
          </cell>
          <cell r="J33">
            <v>141215</v>
          </cell>
        </row>
        <row r="34">
          <cell r="A34">
            <v>30468</v>
          </cell>
          <cell r="B34">
            <v>138079</v>
          </cell>
          <cell r="C34">
            <v>2509</v>
          </cell>
          <cell r="D34">
            <v>15424</v>
          </cell>
          <cell r="E34">
            <v>17933</v>
          </cell>
          <cell r="F34">
            <v>156012</v>
          </cell>
          <cell r="G34">
            <v>128474</v>
          </cell>
          <cell r="H34">
            <v>17184</v>
          </cell>
          <cell r="I34">
            <v>10354</v>
          </cell>
          <cell r="J34">
            <v>156012</v>
          </cell>
        </row>
        <row r="35">
          <cell r="A35">
            <v>30834</v>
          </cell>
          <cell r="B35">
            <v>153583</v>
          </cell>
          <cell r="C35">
            <v>3058</v>
          </cell>
          <cell r="D35">
            <v>17449</v>
          </cell>
          <cell r="E35">
            <v>20507</v>
          </cell>
          <cell r="F35">
            <v>174091</v>
          </cell>
          <cell r="G35">
            <v>141097</v>
          </cell>
          <cell r="H35">
            <v>21355</v>
          </cell>
          <cell r="I35">
            <v>11639</v>
          </cell>
          <cell r="J35">
            <v>174091</v>
          </cell>
        </row>
        <row r="36">
          <cell r="A36">
            <v>31199</v>
          </cell>
          <cell r="B36">
            <v>166162</v>
          </cell>
          <cell r="C36">
            <v>4195</v>
          </cell>
          <cell r="D36">
            <v>19520</v>
          </cell>
          <cell r="E36">
            <v>23715</v>
          </cell>
          <cell r="F36">
            <v>189878</v>
          </cell>
          <cell r="G36">
            <v>153290</v>
          </cell>
          <cell r="H36">
            <v>23798</v>
          </cell>
          <cell r="I36">
            <v>12789</v>
          </cell>
          <cell r="J36">
            <v>189878</v>
          </cell>
        </row>
        <row r="37">
          <cell r="A37">
            <v>31564</v>
          </cell>
          <cell r="B37">
            <v>182446</v>
          </cell>
          <cell r="C37">
            <v>4696</v>
          </cell>
          <cell r="D37">
            <v>21678</v>
          </cell>
          <cell r="E37">
            <v>26374</v>
          </cell>
          <cell r="F37">
            <v>208819</v>
          </cell>
          <cell r="G37">
            <v>172699</v>
          </cell>
          <cell r="H37">
            <v>21729</v>
          </cell>
          <cell r="I37">
            <v>14391</v>
          </cell>
          <cell r="J37">
            <v>208819</v>
          </cell>
        </row>
        <row r="38">
          <cell r="A38">
            <v>31929</v>
          </cell>
          <cell r="B38">
            <v>197301</v>
          </cell>
          <cell r="C38">
            <v>5280</v>
          </cell>
          <cell r="D38">
            <v>23949</v>
          </cell>
          <cell r="E38">
            <v>29229</v>
          </cell>
          <cell r="F38">
            <v>226531</v>
          </cell>
          <cell r="G38">
            <v>190902</v>
          </cell>
          <cell r="H38">
            <v>19203</v>
          </cell>
          <cell r="I38">
            <v>16426</v>
          </cell>
          <cell r="J38">
            <v>226531</v>
          </cell>
        </row>
        <row r="39">
          <cell r="A39">
            <v>32295</v>
          </cell>
          <cell r="B39">
            <v>216295</v>
          </cell>
          <cell r="C39">
            <v>6204</v>
          </cell>
          <cell r="D39">
            <v>25581</v>
          </cell>
          <cell r="E39">
            <v>31785</v>
          </cell>
          <cell r="F39">
            <v>248080</v>
          </cell>
          <cell r="G39">
            <v>210761</v>
          </cell>
          <cell r="H39">
            <v>18433</v>
          </cell>
          <cell r="I39">
            <v>18886</v>
          </cell>
          <cell r="J39">
            <v>248080</v>
          </cell>
        </row>
        <row r="40">
          <cell r="A40">
            <v>32660</v>
          </cell>
          <cell r="B40">
            <v>239651</v>
          </cell>
          <cell r="C40">
            <v>6727</v>
          </cell>
          <cell r="D40">
            <v>28129</v>
          </cell>
          <cell r="E40">
            <v>34856</v>
          </cell>
          <cell r="F40">
            <v>274508</v>
          </cell>
          <cell r="G40">
            <v>235035</v>
          </cell>
          <cell r="H40">
            <v>17445</v>
          </cell>
          <cell r="I40">
            <v>22028</v>
          </cell>
          <cell r="J40">
            <v>274508</v>
          </cell>
        </row>
        <row r="41">
          <cell r="A41">
            <v>33025</v>
          </cell>
          <cell r="B41">
            <v>266577</v>
          </cell>
          <cell r="C41">
            <v>7641</v>
          </cell>
          <cell r="D41">
            <v>30163</v>
          </cell>
          <cell r="E41">
            <v>37804</v>
          </cell>
          <cell r="F41">
            <v>304382</v>
          </cell>
          <cell r="G41">
            <v>260821</v>
          </cell>
          <cell r="H41">
            <v>19735</v>
          </cell>
          <cell r="I41">
            <v>23827</v>
          </cell>
          <cell r="J41">
            <v>304382</v>
          </cell>
        </row>
        <row r="42">
          <cell r="A42">
            <v>33390</v>
          </cell>
          <cell r="B42">
            <v>279913</v>
          </cell>
          <cell r="C42">
            <v>8259</v>
          </cell>
          <cell r="D42">
            <v>33024</v>
          </cell>
          <cell r="E42">
            <v>41283</v>
          </cell>
          <cell r="F42">
            <v>321196</v>
          </cell>
          <cell r="G42">
            <v>279150</v>
          </cell>
          <cell r="H42">
            <v>18245</v>
          </cell>
          <cell r="I42">
            <v>23801</v>
          </cell>
          <cell r="J42">
            <v>321196</v>
          </cell>
        </row>
        <row r="43">
          <cell r="A43">
            <v>33756</v>
          </cell>
          <cell r="B43">
            <v>289516</v>
          </cell>
          <cell r="C43">
            <v>8751</v>
          </cell>
          <cell r="D43">
            <v>35138</v>
          </cell>
          <cell r="E43">
            <v>43889</v>
          </cell>
          <cell r="F43">
            <v>333405</v>
          </cell>
          <cell r="G43">
            <v>293729</v>
          </cell>
          <cell r="H43">
            <v>15467</v>
          </cell>
          <cell r="I43">
            <v>24209</v>
          </cell>
          <cell r="J43">
            <v>333405</v>
          </cell>
        </row>
        <row r="44">
          <cell r="A44">
            <v>34121</v>
          </cell>
          <cell r="B44">
            <v>301206</v>
          </cell>
          <cell r="C44">
            <v>9634</v>
          </cell>
          <cell r="D44">
            <v>35728</v>
          </cell>
          <cell r="E44">
            <v>45362</v>
          </cell>
          <cell r="F44">
            <v>346568</v>
          </cell>
          <cell r="G44">
            <v>304856</v>
          </cell>
          <cell r="H44">
            <v>16651</v>
          </cell>
          <cell r="I44">
            <v>25061</v>
          </cell>
          <cell r="J44">
            <v>346568</v>
          </cell>
        </row>
        <row r="45">
          <cell r="A45">
            <v>34486</v>
          </cell>
          <cell r="B45">
            <v>314343</v>
          </cell>
          <cell r="C45">
            <v>10292</v>
          </cell>
          <cell r="D45">
            <v>36693</v>
          </cell>
          <cell r="E45">
            <v>46985</v>
          </cell>
          <cell r="F45">
            <v>361327</v>
          </cell>
          <cell r="G45">
            <v>317894</v>
          </cell>
          <cell r="H45">
            <v>17099</v>
          </cell>
          <cell r="I45">
            <v>26334</v>
          </cell>
          <cell r="J45">
            <v>361327</v>
          </cell>
        </row>
        <row r="46">
          <cell r="A46">
            <v>34851</v>
          </cell>
          <cell r="B46">
            <v>331627</v>
          </cell>
          <cell r="C46">
            <v>11219</v>
          </cell>
          <cell r="D46">
            <v>38580</v>
          </cell>
          <cell r="E46">
            <v>49799</v>
          </cell>
          <cell r="F46">
            <v>381426</v>
          </cell>
          <cell r="G46">
            <v>339386</v>
          </cell>
          <cell r="H46">
            <v>14591</v>
          </cell>
          <cell r="I46">
            <v>27449</v>
          </cell>
          <cell r="J46">
            <v>381426</v>
          </cell>
        </row>
        <row r="47">
          <cell r="A47">
            <v>35217</v>
          </cell>
          <cell r="B47">
            <v>353702</v>
          </cell>
          <cell r="C47">
            <v>12094</v>
          </cell>
          <cell r="D47">
            <v>40751</v>
          </cell>
          <cell r="E47">
            <v>52845</v>
          </cell>
          <cell r="F47">
            <v>406547</v>
          </cell>
          <cell r="G47">
            <v>360935</v>
          </cell>
          <cell r="H47">
            <v>17674</v>
          </cell>
          <cell r="I47">
            <v>27938</v>
          </cell>
          <cell r="J47">
            <v>406547</v>
          </cell>
        </row>
        <row r="48">
          <cell r="A48">
            <v>35582</v>
          </cell>
          <cell r="B48">
            <v>370139</v>
          </cell>
          <cell r="C48">
            <v>12487</v>
          </cell>
          <cell r="D48">
            <v>42835</v>
          </cell>
          <cell r="E48">
            <v>55322</v>
          </cell>
          <cell r="F48">
            <v>425461</v>
          </cell>
          <cell r="G48">
            <v>377642</v>
          </cell>
          <cell r="H48">
            <v>19266</v>
          </cell>
          <cell r="I48">
            <v>28554</v>
          </cell>
          <cell r="J48">
            <v>425461</v>
          </cell>
        </row>
        <row r="49">
          <cell r="A49">
            <v>35947</v>
          </cell>
          <cell r="B49">
            <v>386139</v>
          </cell>
          <cell r="C49">
            <v>13452</v>
          </cell>
          <cell r="D49">
            <v>45374</v>
          </cell>
          <cell r="E49">
            <v>58826</v>
          </cell>
          <cell r="F49">
            <v>444966</v>
          </cell>
          <cell r="G49">
            <v>402282</v>
          </cell>
          <cell r="H49">
            <v>12094</v>
          </cell>
          <cell r="I49">
            <v>30589</v>
          </cell>
          <cell r="J49">
            <v>444966</v>
          </cell>
        </row>
        <row r="50">
          <cell r="A50">
            <v>36312</v>
          </cell>
          <cell r="B50">
            <v>401222</v>
          </cell>
          <cell r="C50">
            <v>15833</v>
          </cell>
          <cell r="D50">
            <v>51105</v>
          </cell>
          <cell r="E50">
            <v>66938</v>
          </cell>
          <cell r="F50">
            <v>468160</v>
          </cell>
          <cell r="G50">
            <v>431103</v>
          </cell>
          <cell r="H50">
            <v>5360</v>
          </cell>
          <cell r="I50">
            <v>31697</v>
          </cell>
          <cell r="J50">
            <v>468160</v>
          </cell>
        </row>
        <row r="51">
          <cell r="A51">
            <v>36678</v>
          </cell>
          <cell r="B51">
            <v>426282</v>
          </cell>
          <cell r="C51">
            <v>17293</v>
          </cell>
          <cell r="D51">
            <v>52291</v>
          </cell>
          <cell r="E51">
            <v>69584</v>
          </cell>
          <cell r="F51">
            <v>495866</v>
          </cell>
          <cell r="G51">
            <v>456043</v>
          </cell>
          <cell r="H51">
            <v>5889</v>
          </cell>
          <cell r="I51">
            <v>33934</v>
          </cell>
          <cell r="J51">
            <v>495866</v>
          </cell>
        </row>
        <row r="52">
          <cell r="A52">
            <v>37043</v>
          </cell>
          <cell r="B52">
            <v>466431</v>
          </cell>
          <cell r="C52">
            <v>17901</v>
          </cell>
          <cell r="D52">
            <v>57089</v>
          </cell>
          <cell r="E52">
            <v>74990</v>
          </cell>
          <cell r="F52">
            <v>541421</v>
          </cell>
          <cell r="G52">
            <v>492841</v>
          </cell>
          <cell r="H52">
            <v>10919</v>
          </cell>
          <cell r="I52">
            <v>37661</v>
          </cell>
          <cell r="J52">
            <v>541421</v>
          </cell>
        </row>
        <row r="53">
          <cell r="A53">
            <v>37408</v>
          </cell>
          <cell r="B53">
            <v>492819</v>
          </cell>
          <cell r="C53">
            <v>18974</v>
          </cell>
          <cell r="D53">
            <v>60384</v>
          </cell>
          <cell r="E53">
            <v>79358</v>
          </cell>
          <cell r="F53">
            <v>572177</v>
          </cell>
          <cell r="G53">
            <v>520248</v>
          </cell>
          <cell r="H53">
            <v>11776</v>
          </cell>
          <cell r="I53">
            <v>40154</v>
          </cell>
          <cell r="J53">
            <v>572177</v>
          </cell>
        </row>
        <row r="54">
          <cell r="A54">
            <v>37773</v>
          </cell>
          <cell r="B54">
            <v>516964</v>
          </cell>
          <cell r="C54">
            <v>19804</v>
          </cell>
          <cell r="D54">
            <v>65166</v>
          </cell>
          <cell r="E54">
            <v>84970</v>
          </cell>
          <cell r="F54">
            <v>601934</v>
          </cell>
          <cell r="G54">
            <v>556596</v>
          </cell>
          <cell r="H54">
            <v>2395</v>
          </cell>
          <cell r="I54">
            <v>42943</v>
          </cell>
          <cell r="J54">
            <v>601934</v>
          </cell>
        </row>
        <row r="55">
          <cell r="A55">
            <v>38139</v>
          </cell>
          <cell r="B55">
            <v>550476</v>
          </cell>
          <cell r="C55">
            <v>21671</v>
          </cell>
          <cell r="D55">
            <v>70584</v>
          </cell>
          <cell r="E55">
            <v>92255</v>
          </cell>
          <cell r="F55">
            <v>642731</v>
          </cell>
          <cell r="G55">
            <v>593116</v>
          </cell>
          <cell r="H55">
            <v>2568</v>
          </cell>
          <cell r="I55">
            <v>47048</v>
          </cell>
          <cell r="J55">
            <v>642731</v>
          </cell>
        </row>
        <row r="56">
          <cell r="A56">
            <v>38504</v>
          </cell>
          <cell r="B56">
            <v>586975</v>
          </cell>
          <cell r="C56">
            <v>24166</v>
          </cell>
          <cell r="D56">
            <v>76572</v>
          </cell>
          <cell r="E56">
            <v>100738</v>
          </cell>
          <cell r="F56">
            <v>687713</v>
          </cell>
          <cell r="G56">
            <v>631785</v>
          </cell>
          <cell r="H56">
            <v>5317</v>
          </cell>
          <cell r="I56">
            <v>50611</v>
          </cell>
          <cell r="J56">
            <v>687713</v>
          </cell>
        </row>
        <row r="57">
          <cell r="A57">
            <v>38869</v>
          </cell>
          <cell r="B57">
            <v>625325</v>
          </cell>
          <cell r="C57">
            <v>25127</v>
          </cell>
          <cell r="D57">
            <v>80593</v>
          </cell>
          <cell r="E57">
            <v>105720</v>
          </cell>
          <cell r="F57">
            <v>731046</v>
          </cell>
          <cell r="G57">
            <v>667398</v>
          </cell>
          <cell r="H57">
            <v>8845</v>
          </cell>
          <cell r="I57">
            <v>54802</v>
          </cell>
          <cell r="J57">
            <v>731046</v>
          </cell>
        </row>
        <row r="58">
          <cell r="A58">
            <v>39234</v>
          </cell>
          <cell r="B58">
            <v>686013</v>
          </cell>
          <cell r="C58">
            <v>27478</v>
          </cell>
          <cell r="D58">
            <v>87622</v>
          </cell>
          <cell r="E58">
            <v>115100</v>
          </cell>
          <cell r="F58">
            <v>801112</v>
          </cell>
          <cell r="G58">
            <v>721453</v>
          </cell>
          <cell r="H58">
            <v>20170</v>
          </cell>
          <cell r="I58">
            <v>59490</v>
          </cell>
          <cell r="J58">
            <v>801112</v>
          </cell>
        </row>
        <row r="59">
          <cell r="A59">
            <v>39600</v>
          </cell>
          <cell r="B59">
            <v>746639</v>
          </cell>
          <cell r="C59">
            <v>30122</v>
          </cell>
          <cell r="D59">
            <v>93453</v>
          </cell>
          <cell r="E59">
            <v>123575</v>
          </cell>
          <cell r="F59">
            <v>870214</v>
          </cell>
          <cell r="G59">
            <v>781292</v>
          </cell>
          <cell r="H59">
            <v>24556</v>
          </cell>
          <cell r="I59">
            <v>64366</v>
          </cell>
          <cell r="J59">
            <v>870214</v>
          </cell>
        </row>
        <row r="60">
          <cell r="A60">
            <v>39965</v>
          </cell>
          <cell r="B60">
            <v>818772</v>
          </cell>
          <cell r="C60">
            <v>33517</v>
          </cell>
          <cell r="D60">
            <v>103308</v>
          </cell>
          <cell r="E60">
            <v>136825</v>
          </cell>
          <cell r="F60">
            <v>955597</v>
          </cell>
          <cell r="G60">
            <v>813039</v>
          </cell>
          <cell r="H60">
            <v>76539</v>
          </cell>
          <cell r="I60">
            <v>66019</v>
          </cell>
          <cell r="J60">
            <v>955597</v>
          </cell>
        </row>
        <row r="61">
          <cell r="A61">
            <v>40330</v>
          </cell>
          <cell r="B61">
            <v>851386</v>
          </cell>
          <cell r="C61">
            <v>36660</v>
          </cell>
          <cell r="D61">
            <v>108161</v>
          </cell>
          <cell r="E61">
            <v>144821</v>
          </cell>
          <cell r="F61">
            <v>996207</v>
          </cell>
          <cell r="G61">
            <v>857002</v>
          </cell>
          <cell r="H61">
            <v>69748</v>
          </cell>
          <cell r="I61">
            <v>69457</v>
          </cell>
          <cell r="J61">
            <v>996207</v>
          </cell>
        </row>
        <row r="62">
          <cell r="A62">
            <v>40695</v>
          </cell>
          <cell r="B62">
            <v>905908</v>
          </cell>
          <cell r="C62">
            <v>38698</v>
          </cell>
          <cell r="D62">
            <v>112920</v>
          </cell>
          <cell r="E62">
            <v>151618</v>
          </cell>
          <cell r="F62">
            <v>1057526</v>
          </cell>
          <cell r="G62">
            <v>907762</v>
          </cell>
          <cell r="H62">
            <v>76294</v>
          </cell>
          <cell r="I62">
            <v>73470</v>
          </cell>
          <cell r="J62">
            <v>1057526</v>
          </cell>
        </row>
      </sheetData>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09"/>
      <sheetName val="2007"/>
      <sheetName val="OUTPUT"/>
    </sheetNames>
    <sheetDataSet>
      <sheetData sheetId="0"/>
      <sheetData sheetId="1"/>
      <sheetData sheetId="2"/>
      <sheetData sheetId="3">
        <row r="1">
          <cell r="A1" t="str">
            <v>http://www.npa.go.jp/english/seisaku/Crime_in_Japan_in_2010.pdf</v>
          </cell>
        </row>
        <row r="2">
          <cell r="A2" t="str">
            <v>JPN</v>
          </cell>
          <cell r="B2" t="str">
            <v>VEH_THEFT</v>
          </cell>
          <cell r="C2">
            <v>2010</v>
          </cell>
          <cell r="D2">
            <v>23775</v>
          </cell>
          <cell r="E2" t="str">
            <v>INSERT INTO  INPUT.FLAT ([REG_ID],[VAR],[YEAR],[VALUE])  Values ( 'JPN','VEH_THEFT','2010','23775')</v>
          </cell>
        </row>
        <row r="3">
          <cell r="A3" t="str">
            <v>JPA</v>
          </cell>
          <cell r="B3" t="str">
            <v>VEH_THEFT</v>
          </cell>
          <cell r="C3">
            <v>2010</v>
          </cell>
          <cell r="D3">
            <v>439</v>
          </cell>
          <cell r="E3" t="str">
            <v>INSERT INTO  INPUT.FLAT ([REG_ID],[VAR],[YEAR],[VALUE])  Values ( 'JPA','VEH_THEFT','2010','439')</v>
          </cell>
        </row>
        <row r="4">
          <cell r="A4" t="str">
            <v>JPA01</v>
          </cell>
          <cell r="B4" t="str">
            <v>VEH_THEFT</v>
          </cell>
          <cell r="C4">
            <v>2010</v>
          </cell>
          <cell r="D4">
            <v>439</v>
          </cell>
          <cell r="E4" t="str">
            <v>INSERT INTO  INPUT.FLAT ([REG_ID],[VAR],[YEAR],[VALUE])  Values ( 'JPA01','VEH_THEFT','2010','439')</v>
          </cell>
        </row>
        <row r="5">
          <cell r="A5" t="str">
            <v>JPB</v>
          </cell>
          <cell r="B5" t="str">
            <v>VEH_THEFT</v>
          </cell>
          <cell r="C5">
            <v>2010</v>
          </cell>
          <cell r="D5">
            <v>558</v>
          </cell>
          <cell r="E5" t="str">
            <v>INSERT INTO  INPUT.FLAT ([REG_ID],[VAR],[YEAR],[VALUE])  Values ( 'JPB','VEH_THEFT','2010','558')</v>
          </cell>
        </row>
        <row r="6">
          <cell r="A6" t="str">
            <v>JPB02</v>
          </cell>
          <cell r="B6" t="str">
            <v>VEH_THEFT</v>
          </cell>
          <cell r="C6">
            <v>2010</v>
          </cell>
          <cell r="D6">
            <v>61</v>
          </cell>
          <cell r="E6" t="str">
            <v>INSERT INTO  INPUT.FLAT ([REG_ID],[VAR],[YEAR],[VALUE])  Values ( 'JPB02','VEH_THEFT','2010','61')</v>
          </cell>
        </row>
        <row r="7">
          <cell r="A7" t="str">
            <v>JPB03</v>
          </cell>
          <cell r="B7" t="str">
            <v>VEH_THEFT</v>
          </cell>
          <cell r="C7">
            <v>2010</v>
          </cell>
          <cell r="D7">
            <v>29</v>
          </cell>
          <cell r="E7" t="str">
            <v>INSERT INTO  INPUT.FLAT ([REG_ID],[VAR],[YEAR],[VALUE])  Values ( 'JPB03','VEH_THEFT','2010','29')</v>
          </cell>
        </row>
        <row r="8">
          <cell r="A8" t="str">
            <v>JPB04</v>
          </cell>
          <cell r="B8" t="str">
            <v>VEH_THEFT</v>
          </cell>
          <cell r="C8">
            <v>2010</v>
          </cell>
          <cell r="D8">
            <v>114</v>
          </cell>
          <cell r="E8" t="str">
            <v>INSERT INTO  INPUT.FLAT ([REG_ID],[VAR],[YEAR],[VALUE])  Values ( 'JPB04','VEH_THEFT','2010','114')</v>
          </cell>
        </row>
        <row r="9">
          <cell r="A9" t="str">
            <v>JPB05</v>
          </cell>
          <cell r="B9" t="str">
            <v>VEH_THEFT</v>
          </cell>
          <cell r="C9">
            <v>2010</v>
          </cell>
          <cell r="D9">
            <v>21</v>
          </cell>
          <cell r="E9" t="str">
            <v>INSERT INTO  INPUT.FLAT ([REG_ID],[VAR],[YEAR],[VALUE])  Values ( 'JPB05','VEH_THEFT','2010','21')</v>
          </cell>
        </row>
        <row r="10">
          <cell r="A10" t="str">
            <v>JPB06</v>
          </cell>
          <cell r="B10" t="str">
            <v>VEH_THEFT</v>
          </cell>
          <cell r="C10">
            <v>2010</v>
          </cell>
          <cell r="D10">
            <v>44</v>
          </cell>
          <cell r="E10" t="str">
            <v>INSERT INTO  INPUT.FLAT ([REG_ID],[VAR],[YEAR],[VALUE])  Values ( 'JPB06','VEH_THEFT','2010','44')</v>
          </cell>
        </row>
        <row r="11">
          <cell r="A11" t="str">
            <v>JPB07</v>
          </cell>
          <cell r="B11" t="str">
            <v>VEH_THEFT</v>
          </cell>
          <cell r="C11">
            <v>2010</v>
          </cell>
          <cell r="D11">
            <v>289</v>
          </cell>
          <cell r="E11" t="str">
            <v>INSERT INTO  INPUT.FLAT ([REG_ID],[VAR],[YEAR],[VALUE])  Values ( 'JPB07','VEH_THEFT','2010','289')</v>
          </cell>
        </row>
        <row r="12">
          <cell r="A12" t="str">
            <v>JPC</v>
          </cell>
          <cell r="B12" t="str">
            <v>VEH_THEFT</v>
          </cell>
          <cell r="C12">
            <v>2010</v>
          </cell>
          <cell r="D12">
            <v>3949</v>
          </cell>
          <cell r="E12" t="str">
            <v>INSERT INTO  INPUT.FLAT ([REG_ID],[VAR],[YEAR],[VALUE])  Values ( 'JPC','VEH_THEFT','2010','3949')</v>
          </cell>
        </row>
        <row r="13">
          <cell r="A13" t="str">
            <v>JPC19</v>
          </cell>
          <cell r="B13" t="str">
            <v>VEH_THEFT</v>
          </cell>
          <cell r="C13">
            <v>2010</v>
          </cell>
          <cell r="D13">
            <v>109</v>
          </cell>
          <cell r="E13" t="str">
            <v>INSERT INTO  INPUT.FLAT ([REG_ID],[VAR],[YEAR],[VALUE])  Values ( 'JPC19','VEH_THEFT','2010','109')</v>
          </cell>
        </row>
        <row r="14">
          <cell r="A14" t="str">
            <v>JPC20</v>
          </cell>
          <cell r="B14" t="str">
            <v>VEH_THEFT</v>
          </cell>
          <cell r="C14">
            <v>2010</v>
          </cell>
          <cell r="D14">
            <v>156</v>
          </cell>
          <cell r="E14" t="str">
            <v>INSERT INTO  INPUT.FLAT ([REG_ID],[VAR],[YEAR],[VALUE])  Values ( 'JPC20','VEH_THEFT','2010','156')</v>
          </cell>
        </row>
        <row r="15">
          <cell r="A15" t="str">
            <v>JPC08</v>
          </cell>
          <cell r="B15" t="str">
            <v>VEH_THEFT</v>
          </cell>
          <cell r="C15">
            <v>2010</v>
          </cell>
          <cell r="D15">
            <v>2393</v>
          </cell>
          <cell r="E15" t="str">
            <v>INSERT INTO  INPUT.FLAT ([REG_ID],[VAR],[YEAR],[VALUE])  Values ( 'JPC08','VEH_THEFT','2010','2393')</v>
          </cell>
        </row>
        <row r="16">
          <cell r="A16" t="str">
            <v>JPC09</v>
          </cell>
          <cell r="B16" t="str">
            <v>VEH_THEFT</v>
          </cell>
          <cell r="C16">
            <v>2010</v>
          </cell>
          <cell r="D16">
            <v>659</v>
          </cell>
          <cell r="E16" t="str">
            <v>INSERT INTO  INPUT.FLAT ([REG_ID],[VAR],[YEAR],[VALUE])  Values ( 'JPC09','VEH_THEFT','2010','659')</v>
          </cell>
        </row>
        <row r="17">
          <cell r="A17" t="str">
            <v>JPC10</v>
          </cell>
          <cell r="B17" t="str">
            <v>VEH_THEFT</v>
          </cell>
          <cell r="C17">
            <v>2010</v>
          </cell>
          <cell r="D17">
            <v>632</v>
          </cell>
          <cell r="E17" t="str">
            <v>INSERT INTO  INPUT.FLAT ([REG_ID],[VAR],[YEAR],[VALUE])  Values ( 'JPC10','VEH_THEFT','2010','632')</v>
          </cell>
        </row>
        <row r="18">
          <cell r="A18" t="str">
            <v>JPD</v>
          </cell>
          <cell r="B18" t="str">
            <v>VEH_THEFT</v>
          </cell>
          <cell r="C18">
            <v>2010</v>
          </cell>
          <cell r="D18">
            <v>7293</v>
          </cell>
          <cell r="E18" t="str">
            <v>INSERT INTO  INPUT.FLAT ([REG_ID],[VAR],[YEAR],[VALUE])  Values ( 'JPD','VEH_THEFT','2010','7293')</v>
          </cell>
        </row>
        <row r="19">
          <cell r="A19" t="str">
            <v>JPD11</v>
          </cell>
          <cell r="B19" t="str">
            <v>VEH_THEFT</v>
          </cell>
          <cell r="C19">
            <v>2010</v>
          </cell>
          <cell r="D19">
            <v>1477</v>
          </cell>
          <cell r="E19" t="str">
            <v>INSERT INTO  INPUT.FLAT ([REG_ID],[VAR],[YEAR],[VALUE])  Values ( 'JPD11','VEH_THEFT','2010','1477')</v>
          </cell>
        </row>
        <row r="20">
          <cell r="A20" t="str">
            <v>JPD12</v>
          </cell>
          <cell r="B20" t="str">
            <v>VEH_THEFT</v>
          </cell>
          <cell r="C20">
            <v>2010</v>
          </cell>
          <cell r="D20">
            <v>3264</v>
          </cell>
          <cell r="E20" t="str">
            <v>INSERT INTO  INPUT.FLAT ([REG_ID],[VAR],[YEAR],[VALUE])  Values ( 'JPD12','VEH_THEFT','2010','3264')</v>
          </cell>
        </row>
        <row r="21">
          <cell r="A21" t="str">
            <v>JPD13</v>
          </cell>
          <cell r="B21" t="str">
            <v>VEH_THEFT</v>
          </cell>
          <cell r="C21">
            <v>2010</v>
          </cell>
          <cell r="D21">
            <v>627</v>
          </cell>
          <cell r="E21" t="str">
            <v>INSERT INTO  INPUT.FLAT ([REG_ID],[VAR],[YEAR],[VALUE])  Values ( 'JPD13','VEH_THEFT','2010','627')</v>
          </cell>
        </row>
        <row r="22">
          <cell r="A22" t="str">
            <v>JPD14</v>
          </cell>
          <cell r="B22" t="str">
            <v>VEH_THEFT</v>
          </cell>
          <cell r="C22">
            <v>2010</v>
          </cell>
          <cell r="D22">
            <v>1925</v>
          </cell>
          <cell r="E22" t="str">
            <v>INSERT INTO  INPUT.FLAT ([REG_ID],[VAR],[YEAR],[VALUE])  Values ( 'JPD14','VEH_THEFT','2010','1925')</v>
          </cell>
        </row>
        <row r="23">
          <cell r="A23" t="str">
            <v>JPE</v>
          </cell>
          <cell r="B23" t="str">
            <v>VEH_THEFT</v>
          </cell>
          <cell r="C23">
            <v>2010</v>
          </cell>
          <cell r="D23">
            <v>358</v>
          </cell>
          <cell r="E23" t="str">
            <v>INSERT INTO  INPUT.FLAT ([REG_ID],[VAR],[YEAR],[VALUE])  Values ( 'JPE','VEH_THEFT','2010','358')</v>
          </cell>
        </row>
        <row r="24">
          <cell r="A24" t="str">
            <v>JPE15</v>
          </cell>
          <cell r="B24" t="str">
            <v>VEH_THEFT</v>
          </cell>
          <cell r="C24">
            <v>2010</v>
          </cell>
          <cell r="D24">
            <v>151</v>
          </cell>
          <cell r="E24" t="str">
            <v>INSERT INTO  INPUT.FLAT ([REG_ID],[VAR],[YEAR],[VALUE])  Values ( 'JPE15','VEH_THEFT','2010','151')</v>
          </cell>
        </row>
        <row r="25">
          <cell r="A25" t="str">
            <v>JPE16</v>
          </cell>
          <cell r="B25" t="str">
            <v>VEH_THEFT</v>
          </cell>
          <cell r="C25">
            <v>2010</v>
          </cell>
          <cell r="D25">
            <v>69</v>
          </cell>
          <cell r="E25" t="str">
            <v>INSERT INTO  INPUT.FLAT ([REG_ID],[VAR],[YEAR],[VALUE])  Values ( 'JPE16','VEH_THEFT','2010','69')</v>
          </cell>
        </row>
        <row r="26">
          <cell r="A26" t="str">
            <v>JPE17</v>
          </cell>
          <cell r="B26" t="str">
            <v>VEH_THEFT</v>
          </cell>
          <cell r="C26">
            <v>2010</v>
          </cell>
          <cell r="D26">
            <v>89</v>
          </cell>
          <cell r="E26" t="str">
            <v>INSERT INTO  INPUT.FLAT ([REG_ID],[VAR],[YEAR],[VALUE])  Values ( 'JPE17','VEH_THEFT','2010','89')</v>
          </cell>
        </row>
        <row r="27">
          <cell r="A27" t="str">
            <v>JPE18</v>
          </cell>
          <cell r="B27" t="str">
            <v>VEH_THEFT</v>
          </cell>
          <cell r="C27">
            <v>2010</v>
          </cell>
          <cell r="D27">
            <v>49</v>
          </cell>
          <cell r="E27" t="str">
            <v>INSERT INTO  INPUT.FLAT ([REG_ID],[VAR],[YEAR],[VALUE])  Values ( 'JPE18','VEH_THEFT','2010','49')</v>
          </cell>
        </row>
        <row r="28">
          <cell r="A28" t="str">
            <v>JPF</v>
          </cell>
          <cell r="B28" t="str">
            <v>VEH_THEFT</v>
          </cell>
          <cell r="C28">
            <v>2010</v>
          </cell>
          <cell r="D28">
            <v>4966</v>
          </cell>
          <cell r="E28" t="str">
            <v>INSERT INTO  INPUT.FLAT ([REG_ID],[VAR],[YEAR],[VALUE])  Values ( 'JPF','VEH_THEFT','2010','4966')</v>
          </cell>
        </row>
        <row r="29">
          <cell r="A29" t="str">
            <v>JPF21</v>
          </cell>
          <cell r="B29" t="str">
            <v>VEH_THEFT</v>
          </cell>
          <cell r="C29">
            <v>2010</v>
          </cell>
          <cell r="D29">
            <v>532</v>
          </cell>
          <cell r="E29" t="str">
            <v>INSERT INTO  INPUT.FLAT ([REG_ID],[VAR],[YEAR],[VALUE])  Values ( 'JPF21','VEH_THEFT','2010','532')</v>
          </cell>
        </row>
        <row r="30">
          <cell r="A30" t="str">
            <v>JPF22</v>
          </cell>
          <cell r="B30" t="str">
            <v>VEH_THEFT</v>
          </cell>
          <cell r="C30">
            <v>2010</v>
          </cell>
          <cell r="D30">
            <v>396</v>
          </cell>
          <cell r="E30" t="str">
            <v>INSERT INTO  INPUT.FLAT ([REG_ID],[VAR],[YEAR],[VALUE])  Values ( 'JPF22','VEH_THEFT','2010','396')</v>
          </cell>
        </row>
        <row r="31">
          <cell r="A31" t="str">
            <v>JPF23</v>
          </cell>
          <cell r="B31" t="str">
            <v>VEH_THEFT</v>
          </cell>
          <cell r="C31">
            <v>2010</v>
          </cell>
          <cell r="D31">
            <v>3608</v>
          </cell>
          <cell r="E31" t="str">
            <v>INSERT INTO  INPUT.FLAT ([REG_ID],[VAR],[YEAR],[VALUE])  Values ( 'JPF23','VEH_THEFT','2010','3608')</v>
          </cell>
        </row>
        <row r="32">
          <cell r="A32" t="str">
            <v>JPF24</v>
          </cell>
          <cell r="B32" t="str">
            <v>VEH_THEFT</v>
          </cell>
          <cell r="C32">
            <v>2010</v>
          </cell>
          <cell r="D32">
            <v>430</v>
          </cell>
          <cell r="E32" t="str">
            <v>INSERT INTO  INPUT.FLAT ([REG_ID],[VAR],[YEAR],[VALUE])  Values ( 'JPF24','VEH_THEFT','2010','430')</v>
          </cell>
        </row>
        <row r="33">
          <cell r="A33" t="str">
            <v>JPG</v>
          </cell>
          <cell r="B33" t="str">
            <v>VEH_THEFT</v>
          </cell>
          <cell r="C33">
            <v>2010</v>
          </cell>
          <cell r="D33">
            <v>4040</v>
          </cell>
          <cell r="E33" t="str">
            <v>INSERT INTO  INPUT.FLAT ([REG_ID],[VAR],[YEAR],[VALUE])  Values ( 'JPG','VEH_THEFT','2010','4040')</v>
          </cell>
        </row>
        <row r="34">
          <cell r="A34" t="str">
            <v>JPG25</v>
          </cell>
          <cell r="B34" t="str">
            <v>VEH_THEFT</v>
          </cell>
          <cell r="C34">
            <v>2010</v>
          </cell>
          <cell r="D34">
            <v>153</v>
          </cell>
          <cell r="E34" t="str">
            <v>INSERT INTO  INPUT.FLAT ([REG_ID],[VAR],[YEAR],[VALUE])  Values ( 'JPG25','VEH_THEFT','2010','153')</v>
          </cell>
        </row>
        <row r="35">
          <cell r="A35" t="str">
            <v>JPG26</v>
          </cell>
          <cell r="B35" t="str">
            <v>VEH_THEFT</v>
          </cell>
          <cell r="C35">
            <v>2010</v>
          </cell>
          <cell r="D35">
            <v>332</v>
          </cell>
          <cell r="E35" t="str">
            <v>INSERT INTO  INPUT.FLAT ([REG_ID],[VAR],[YEAR],[VALUE])  Values ( 'JPG26','VEH_THEFT','2010','332')</v>
          </cell>
        </row>
        <row r="36">
          <cell r="A36" t="str">
            <v>JPG27</v>
          </cell>
          <cell r="B36" t="str">
            <v>VEH_THEFT</v>
          </cell>
          <cell r="C36">
            <v>2010</v>
          </cell>
          <cell r="D36">
            <v>2163</v>
          </cell>
          <cell r="E36" t="str">
            <v>INSERT INTO  INPUT.FLAT ([REG_ID],[VAR],[YEAR],[VALUE])  Values ( 'JPG27','VEH_THEFT','2010','2163')</v>
          </cell>
        </row>
        <row r="37">
          <cell r="A37" t="str">
            <v>JPG28</v>
          </cell>
          <cell r="B37" t="str">
            <v>VEH_THEFT</v>
          </cell>
          <cell r="C37">
            <v>2010</v>
          </cell>
          <cell r="D37">
            <v>1074</v>
          </cell>
          <cell r="E37" t="str">
            <v>INSERT INTO  INPUT.FLAT ([REG_ID],[VAR],[YEAR],[VALUE])  Values ( 'JPG28','VEH_THEFT','2010','1074')</v>
          </cell>
        </row>
        <row r="38">
          <cell r="A38" t="str">
            <v>JPG29</v>
          </cell>
          <cell r="B38" t="str">
            <v>VEH_THEFT</v>
          </cell>
          <cell r="C38">
            <v>2010</v>
          </cell>
          <cell r="D38">
            <v>237</v>
          </cell>
          <cell r="E38" t="str">
            <v>INSERT INTO  INPUT.FLAT ([REG_ID],[VAR],[YEAR],[VALUE])  Values ( 'JPG29','VEH_THEFT','2010','237')</v>
          </cell>
        </row>
        <row r="39">
          <cell r="A39" t="str">
            <v>JPG30</v>
          </cell>
          <cell r="B39" t="str">
            <v>VEH_THEFT</v>
          </cell>
          <cell r="C39">
            <v>2010</v>
          </cell>
          <cell r="D39">
            <v>81</v>
          </cell>
          <cell r="E39" t="str">
            <v>INSERT INTO  INPUT.FLAT ([REG_ID],[VAR],[YEAR],[VALUE])  Values ( 'JPG30','VEH_THEFT','2010','81')</v>
          </cell>
        </row>
        <row r="40">
          <cell r="A40" t="str">
            <v>JPH</v>
          </cell>
          <cell r="B40" t="str">
            <v>VEH_THEFT</v>
          </cell>
          <cell r="C40">
            <v>2010</v>
          </cell>
          <cell r="D40">
            <v>423</v>
          </cell>
          <cell r="E40" t="str">
            <v>INSERT INTO  INPUT.FLAT ([REG_ID],[VAR],[YEAR],[VALUE])  Values ( 'JPH','VEH_THEFT','2010','423')</v>
          </cell>
        </row>
        <row r="41">
          <cell r="A41" t="str">
            <v>JPH31</v>
          </cell>
          <cell r="B41" t="str">
            <v>VEH_THEFT</v>
          </cell>
          <cell r="C41">
            <v>2010</v>
          </cell>
          <cell r="D41">
            <v>34</v>
          </cell>
          <cell r="E41" t="str">
            <v>INSERT INTO  INPUT.FLAT ([REG_ID],[VAR],[YEAR],[VALUE])  Values ( 'JPH31','VEH_THEFT','2010','34')</v>
          </cell>
        </row>
        <row r="42">
          <cell r="A42" t="str">
            <v>JPH32</v>
          </cell>
          <cell r="B42" t="str">
            <v>VEH_THEFT</v>
          </cell>
          <cell r="C42">
            <v>2010</v>
          </cell>
          <cell r="D42">
            <v>19</v>
          </cell>
          <cell r="E42" t="str">
            <v>INSERT INTO  INPUT.FLAT ([REG_ID],[VAR],[YEAR],[VALUE])  Values ( 'JPH32','VEH_THEFT','2010','19')</v>
          </cell>
        </row>
        <row r="43">
          <cell r="A43" t="str">
            <v>JPH33</v>
          </cell>
          <cell r="B43" t="str">
            <v>VEH_THEFT</v>
          </cell>
          <cell r="C43">
            <v>2010</v>
          </cell>
          <cell r="D43">
            <v>189</v>
          </cell>
          <cell r="E43" t="str">
            <v>INSERT INTO  INPUT.FLAT ([REG_ID],[VAR],[YEAR],[VALUE])  Values ( 'JPH33','VEH_THEFT','2010','189')</v>
          </cell>
        </row>
        <row r="44">
          <cell r="A44" t="str">
            <v>JPH34</v>
          </cell>
          <cell r="B44" t="str">
            <v>VEH_THEFT</v>
          </cell>
          <cell r="C44">
            <v>2010</v>
          </cell>
          <cell r="D44">
            <v>132</v>
          </cell>
          <cell r="E44" t="str">
            <v>INSERT INTO  INPUT.FLAT ([REG_ID],[VAR],[YEAR],[VALUE])  Values ( 'JPH34','VEH_THEFT','2010','132')</v>
          </cell>
        </row>
        <row r="45">
          <cell r="A45" t="str">
            <v>JPH35</v>
          </cell>
          <cell r="B45" t="str">
            <v>VEH_THEFT</v>
          </cell>
          <cell r="C45">
            <v>2010</v>
          </cell>
          <cell r="D45">
            <v>49</v>
          </cell>
          <cell r="E45" t="str">
            <v>INSERT INTO  INPUT.FLAT ([REG_ID],[VAR],[YEAR],[VALUE])  Values ( 'JPH35','VEH_THEFT','2010','49')</v>
          </cell>
        </row>
        <row r="46">
          <cell r="A46" t="str">
            <v>JPI</v>
          </cell>
          <cell r="B46" t="str">
            <v>VEH_THEFT</v>
          </cell>
          <cell r="C46">
            <v>2010</v>
          </cell>
          <cell r="D46">
            <v>222</v>
          </cell>
          <cell r="E46" t="str">
            <v>INSERT INTO  INPUT.FLAT ([REG_ID],[VAR],[YEAR],[VALUE])  Values ( 'JPI','VEH_THEFT','2010','222')</v>
          </cell>
        </row>
        <row r="47">
          <cell r="A47" t="str">
            <v>JPI36</v>
          </cell>
          <cell r="B47" t="str">
            <v>VEH_THEFT</v>
          </cell>
          <cell r="C47">
            <v>2010</v>
          </cell>
          <cell r="D47">
            <v>38</v>
          </cell>
          <cell r="E47" t="str">
            <v>INSERT INTO  INPUT.FLAT ([REG_ID],[VAR],[YEAR],[VALUE])  Values ( 'JPI36','VEH_THEFT','2010','38')</v>
          </cell>
        </row>
        <row r="48">
          <cell r="A48" t="str">
            <v>JPI37</v>
          </cell>
          <cell r="B48" t="str">
            <v>VEH_THEFT</v>
          </cell>
          <cell r="C48">
            <v>2010</v>
          </cell>
          <cell r="D48">
            <v>53</v>
          </cell>
          <cell r="E48" t="str">
            <v>INSERT INTO  INPUT.FLAT ([REG_ID],[VAR],[YEAR],[VALUE])  Values ( 'JPI37','VEH_THEFT','2010','53')</v>
          </cell>
        </row>
        <row r="49">
          <cell r="A49" t="str">
            <v>JPI38</v>
          </cell>
          <cell r="B49" t="str">
            <v>VEH_THEFT</v>
          </cell>
          <cell r="C49">
            <v>2010</v>
          </cell>
          <cell r="D49">
            <v>110</v>
          </cell>
          <cell r="E49" t="str">
            <v>INSERT INTO  INPUT.FLAT ([REG_ID],[VAR],[YEAR],[VALUE])  Values ( 'JPI38','VEH_THEFT','2010','110')</v>
          </cell>
        </row>
        <row r="50">
          <cell r="A50" t="str">
            <v>JPI39</v>
          </cell>
          <cell r="B50" t="str">
            <v>VEH_THEFT</v>
          </cell>
          <cell r="C50">
            <v>2010</v>
          </cell>
          <cell r="D50">
            <v>21</v>
          </cell>
          <cell r="E50" t="str">
            <v>INSERT INTO  INPUT.FLAT ([REG_ID],[VAR],[YEAR],[VALUE])  Values ( 'JPI39','VEH_THEFT','2010','21')</v>
          </cell>
        </row>
        <row r="51">
          <cell r="A51" t="str">
            <v>JPJ</v>
          </cell>
          <cell r="B51" t="str">
            <v>VEH_THEFT</v>
          </cell>
          <cell r="C51">
            <v>2010</v>
          </cell>
          <cell r="D51">
            <v>1527</v>
          </cell>
          <cell r="E51" t="str">
            <v>INSERT INTO  INPUT.FLAT ([REG_ID],[VAR],[YEAR],[VALUE])  Values ( 'JPJ','VEH_THEFT','2010','1527')</v>
          </cell>
        </row>
        <row r="52">
          <cell r="A52" t="str">
            <v>JPJ40</v>
          </cell>
          <cell r="B52" t="str">
            <v>VEH_THEFT</v>
          </cell>
          <cell r="C52">
            <v>2010</v>
          </cell>
          <cell r="D52">
            <v>1001</v>
          </cell>
          <cell r="E52" t="str">
            <v>INSERT INTO  INPUT.FLAT ([REG_ID],[VAR],[YEAR],[VALUE])  Values ( 'JPJ40','VEH_THEFT','2010','1001')</v>
          </cell>
        </row>
        <row r="53">
          <cell r="A53" t="str">
            <v>JPJ41</v>
          </cell>
          <cell r="B53" t="str">
            <v>VEH_THEFT</v>
          </cell>
          <cell r="C53">
            <v>2010</v>
          </cell>
          <cell r="D53">
            <v>47</v>
          </cell>
          <cell r="E53" t="str">
            <v>INSERT INTO  INPUT.FLAT ([REG_ID],[VAR],[YEAR],[VALUE])  Values ( 'JPJ41','VEH_THEFT','2010','47')</v>
          </cell>
        </row>
        <row r="54">
          <cell r="A54" t="str">
            <v>JPJ42</v>
          </cell>
          <cell r="B54" t="str">
            <v>VEH_THEFT</v>
          </cell>
          <cell r="C54">
            <v>2010</v>
          </cell>
          <cell r="D54">
            <v>39</v>
          </cell>
          <cell r="E54" t="str">
            <v>INSERT INTO  INPUT.FLAT ([REG_ID],[VAR],[YEAR],[VALUE])  Values ( 'JPJ42','VEH_THEFT','2010','39')</v>
          </cell>
        </row>
        <row r="55">
          <cell r="A55" t="str">
            <v>JPJ43</v>
          </cell>
          <cell r="B55" t="str">
            <v>VEH_THEFT</v>
          </cell>
          <cell r="C55">
            <v>2010</v>
          </cell>
          <cell r="D55">
            <v>120</v>
          </cell>
          <cell r="E55" t="str">
            <v>INSERT INTO  INPUT.FLAT ([REG_ID],[VAR],[YEAR],[VALUE])  Values ( 'JPJ43','VEH_THEFT','2010','120')</v>
          </cell>
        </row>
        <row r="56">
          <cell r="A56" t="str">
            <v>JPJ44</v>
          </cell>
          <cell r="B56" t="str">
            <v>VEH_THEFT</v>
          </cell>
          <cell r="C56">
            <v>2010</v>
          </cell>
          <cell r="D56">
            <v>56</v>
          </cell>
          <cell r="E56" t="str">
            <v>INSERT INTO  INPUT.FLAT ([REG_ID],[VAR],[YEAR],[VALUE])  Values ( 'JPJ44','VEH_THEFT','2010','56')</v>
          </cell>
        </row>
        <row r="57">
          <cell r="A57" t="str">
            <v>JPJ45</v>
          </cell>
          <cell r="B57" t="str">
            <v>VEH_THEFT</v>
          </cell>
          <cell r="C57">
            <v>2010</v>
          </cell>
          <cell r="D57">
            <v>39</v>
          </cell>
          <cell r="E57" t="str">
            <v>INSERT INTO  INPUT.FLAT ([REG_ID],[VAR],[YEAR],[VALUE])  Values ( 'JPJ45','VEH_THEFT','2010','39')</v>
          </cell>
        </row>
        <row r="58">
          <cell r="A58" t="str">
            <v>JPJ46</v>
          </cell>
          <cell r="B58" t="str">
            <v>VEH_THEFT</v>
          </cell>
          <cell r="C58">
            <v>2010</v>
          </cell>
          <cell r="D58">
            <v>101</v>
          </cell>
          <cell r="E58" t="str">
            <v>INSERT INTO  INPUT.FLAT ([REG_ID],[VAR],[YEAR],[VALUE])  Values ( 'JPJ46','VEH_THEFT','2010','101')</v>
          </cell>
        </row>
        <row r="59">
          <cell r="A59" t="str">
            <v>JPJ47</v>
          </cell>
          <cell r="B59" t="str">
            <v>VEH_THEFT</v>
          </cell>
          <cell r="C59">
            <v>2010</v>
          </cell>
          <cell r="D59">
            <v>124</v>
          </cell>
          <cell r="E59" t="str">
            <v>INSERT INTO  INPUT.FLAT ([REG_ID],[VAR],[YEAR],[VALUE])  Values ( 'JPJ47','VEH_THEFT','2010','124')</v>
          </cell>
        </row>
        <row r="60">
          <cell r="A60" t="str">
            <v>JPN</v>
          </cell>
          <cell r="B60" t="str">
            <v>VEH_THEFT</v>
          </cell>
          <cell r="C60">
            <v>2009</v>
          </cell>
          <cell r="D60">
            <v>25967</v>
          </cell>
          <cell r="E60" t="str">
            <v>INSERT INTO  INPUT.FLAT ([REG_ID],[VAR],[YEAR],[VALUE])  Values ( 'JPN','VEH_THEFT','2009','25967')</v>
          </cell>
        </row>
        <row r="61">
          <cell r="A61" t="str">
            <v>JPA</v>
          </cell>
          <cell r="B61" t="str">
            <v>VEH_THEFT</v>
          </cell>
          <cell r="C61">
            <v>2009</v>
          </cell>
          <cell r="D61">
            <v>602</v>
          </cell>
          <cell r="E61" t="str">
            <v>INSERT INTO  INPUT.FLAT ([REG_ID],[VAR],[YEAR],[VALUE])  Values ( 'JPA','VEH_THEFT','2009','602')</v>
          </cell>
        </row>
        <row r="62">
          <cell r="A62" t="str">
            <v>JPA01</v>
          </cell>
          <cell r="B62" t="str">
            <v>VEH_THEFT</v>
          </cell>
          <cell r="C62">
            <v>2009</v>
          </cell>
          <cell r="D62">
            <v>602</v>
          </cell>
          <cell r="E62" t="str">
            <v>INSERT INTO  INPUT.FLAT ([REG_ID],[VAR],[YEAR],[VALUE])  Values ( 'JPA01','VEH_THEFT','2009','602')</v>
          </cell>
        </row>
        <row r="63">
          <cell r="A63" t="str">
            <v>JPB</v>
          </cell>
          <cell r="B63" t="str">
            <v>VEH_THEFT</v>
          </cell>
          <cell r="C63">
            <v>2009</v>
          </cell>
          <cell r="D63">
            <v>563</v>
          </cell>
          <cell r="E63" t="str">
            <v>INSERT INTO  INPUT.FLAT ([REG_ID],[VAR],[YEAR],[VALUE])  Values ( 'JPB','VEH_THEFT','2009','563')</v>
          </cell>
        </row>
        <row r="64">
          <cell r="A64" t="str">
            <v>JPB02</v>
          </cell>
          <cell r="B64" t="str">
            <v>VEH_THEFT</v>
          </cell>
          <cell r="C64">
            <v>2009</v>
          </cell>
          <cell r="D64">
            <v>90</v>
          </cell>
          <cell r="E64" t="str">
            <v>INSERT INTO  INPUT.FLAT ([REG_ID],[VAR],[YEAR],[VALUE])  Values ( 'JPB02','VEH_THEFT','2009','90')</v>
          </cell>
        </row>
        <row r="65">
          <cell r="A65" t="str">
            <v>JPB03</v>
          </cell>
          <cell r="B65" t="str">
            <v>VEH_THEFT</v>
          </cell>
          <cell r="C65">
            <v>2009</v>
          </cell>
          <cell r="D65">
            <v>37</v>
          </cell>
          <cell r="E65" t="str">
            <v>INSERT INTO  INPUT.FLAT ([REG_ID],[VAR],[YEAR],[VALUE])  Values ( 'JPB03','VEH_THEFT','2009','37')</v>
          </cell>
        </row>
        <row r="66">
          <cell r="A66" t="str">
            <v>JPB04</v>
          </cell>
          <cell r="B66" t="str">
            <v>VEH_THEFT</v>
          </cell>
          <cell r="C66">
            <v>2009</v>
          </cell>
          <cell r="D66">
            <v>157</v>
          </cell>
          <cell r="E66" t="str">
            <v>INSERT INTO  INPUT.FLAT ([REG_ID],[VAR],[YEAR],[VALUE])  Values ( 'JPB04','VEH_THEFT','2009','157')</v>
          </cell>
        </row>
        <row r="67">
          <cell r="A67" t="str">
            <v>JPB05</v>
          </cell>
          <cell r="B67" t="str">
            <v>VEH_THEFT</v>
          </cell>
          <cell r="C67">
            <v>2009</v>
          </cell>
          <cell r="D67">
            <v>27</v>
          </cell>
          <cell r="E67" t="str">
            <v>INSERT INTO  INPUT.FLAT ([REG_ID],[VAR],[YEAR],[VALUE])  Values ( 'JPB05','VEH_THEFT','2009','27')</v>
          </cell>
        </row>
        <row r="68">
          <cell r="A68" t="str">
            <v>JPB06</v>
          </cell>
          <cell r="B68" t="str">
            <v>VEH_THEFT</v>
          </cell>
          <cell r="C68">
            <v>2009</v>
          </cell>
          <cell r="D68">
            <v>48</v>
          </cell>
          <cell r="E68" t="str">
            <v>INSERT INTO  INPUT.FLAT ([REG_ID],[VAR],[YEAR],[VALUE])  Values ( 'JPB06','VEH_THEFT','2009','48')</v>
          </cell>
        </row>
        <row r="69">
          <cell r="A69" t="str">
            <v>JPB07</v>
          </cell>
          <cell r="B69" t="str">
            <v>VEH_THEFT</v>
          </cell>
          <cell r="C69">
            <v>2009</v>
          </cell>
          <cell r="D69">
            <v>204</v>
          </cell>
          <cell r="E69" t="str">
            <v>INSERT INTO  INPUT.FLAT ([REG_ID],[VAR],[YEAR],[VALUE])  Values ( 'JPB07','VEH_THEFT','2009','204')</v>
          </cell>
        </row>
        <row r="70">
          <cell r="A70" t="str">
            <v>JPC</v>
          </cell>
          <cell r="B70" t="str">
            <v>VEH_THEFT</v>
          </cell>
          <cell r="C70">
            <v>2009</v>
          </cell>
          <cell r="D70">
            <v>3733</v>
          </cell>
          <cell r="E70" t="str">
            <v>INSERT INTO  INPUT.FLAT ([REG_ID],[VAR],[YEAR],[VALUE])  Values ( 'JPC','VEH_THEFT','2009','3733')</v>
          </cell>
        </row>
        <row r="71">
          <cell r="A71" t="str">
            <v>JPC19</v>
          </cell>
          <cell r="B71" t="str">
            <v>VEH_THEFT</v>
          </cell>
          <cell r="C71">
            <v>2009</v>
          </cell>
          <cell r="D71">
            <v>118</v>
          </cell>
          <cell r="E71" t="str">
            <v>INSERT INTO  INPUT.FLAT ([REG_ID],[VAR],[YEAR],[VALUE])  Values ( 'JPC19','VEH_THEFT','2009','118')</v>
          </cell>
        </row>
        <row r="72">
          <cell r="A72" t="str">
            <v>JPC20</v>
          </cell>
          <cell r="B72" t="str">
            <v>VEH_THEFT</v>
          </cell>
          <cell r="C72">
            <v>2009</v>
          </cell>
          <cell r="D72">
            <v>163</v>
          </cell>
          <cell r="E72" t="str">
            <v>INSERT INTO  INPUT.FLAT ([REG_ID],[VAR],[YEAR],[VALUE])  Values ( 'JPC20','VEH_THEFT','2009','163')</v>
          </cell>
        </row>
        <row r="73">
          <cell r="A73" t="str">
            <v>JPC08</v>
          </cell>
          <cell r="B73" t="str">
            <v>VEH_THEFT</v>
          </cell>
          <cell r="C73">
            <v>2009</v>
          </cell>
          <cell r="D73">
            <v>2144</v>
          </cell>
          <cell r="E73" t="str">
            <v>INSERT INTO  INPUT.FLAT ([REG_ID],[VAR],[YEAR],[VALUE])  Values ( 'JPC08','VEH_THEFT','2009','2144')</v>
          </cell>
        </row>
        <row r="74">
          <cell r="A74" t="str">
            <v>JPC09</v>
          </cell>
          <cell r="B74" t="str">
            <v>VEH_THEFT</v>
          </cell>
          <cell r="C74">
            <v>2009</v>
          </cell>
          <cell r="D74">
            <v>676</v>
          </cell>
          <cell r="E74" t="str">
            <v>INSERT INTO  INPUT.FLAT ([REG_ID],[VAR],[YEAR],[VALUE])  Values ( 'JPC09','VEH_THEFT','2009','676')</v>
          </cell>
        </row>
        <row r="75">
          <cell r="A75" t="str">
            <v>JPC10</v>
          </cell>
          <cell r="B75" t="str">
            <v>VEH_THEFT</v>
          </cell>
          <cell r="C75">
            <v>2009</v>
          </cell>
          <cell r="D75">
            <v>632</v>
          </cell>
          <cell r="E75" t="str">
            <v>INSERT INTO  INPUT.FLAT ([REG_ID],[VAR],[YEAR],[VALUE])  Values ( 'JPC10','VEH_THEFT','2009','632')</v>
          </cell>
        </row>
        <row r="76">
          <cell r="A76" t="str">
            <v>JPD</v>
          </cell>
          <cell r="B76" t="str">
            <v>VEH_THEFT</v>
          </cell>
          <cell r="C76">
            <v>2009</v>
          </cell>
          <cell r="D76">
            <v>7263</v>
          </cell>
          <cell r="E76" t="str">
            <v>INSERT INTO  INPUT.FLAT ([REG_ID],[VAR],[YEAR],[VALUE])  Values ( 'JPD','VEH_THEFT','2009','7263')</v>
          </cell>
        </row>
        <row r="77">
          <cell r="A77" t="str">
            <v>JPD11</v>
          </cell>
          <cell r="B77" t="str">
            <v>VEH_THEFT</v>
          </cell>
          <cell r="C77">
            <v>2009</v>
          </cell>
          <cell r="D77">
            <v>1383</v>
          </cell>
          <cell r="E77" t="str">
            <v>INSERT INTO  INPUT.FLAT ([REG_ID],[VAR],[YEAR],[VALUE])  Values ( 'JPD11','VEH_THEFT','2009','1383')</v>
          </cell>
        </row>
        <row r="78">
          <cell r="A78" t="str">
            <v>JPD12</v>
          </cell>
          <cell r="B78" t="str">
            <v>VEH_THEFT</v>
          </cell>
          <cell r="C78">
            <v>2009</v>
          </cell>
          <cell r="D78">
            <v>3882</v>
          </cell>
          <cell r="E78" t="str">
            <v>INSERT INTO  INPUT.FLAT ([REG_ID],[VAR],[YEAR],[VALUE])  Values ( 'JPD12','VEH_THEFT','2009','3882')</v>
          </cell>
        </row>
        <row r="79">
          <cell r="A79" t="str">
            <v>JPD13</v>
          </cell>
          <cell r="B79" t="str">
            <v>VEH_THEFT</v>
          </cell>
          <cell r="C79">
            <v>2009</v>
          </cell>
          <cell r="D79">
            <v>548</v>
          </cell>
          <cell r="E79" t="str">
            <v>INSERT INTO  INPUT.FLAT ([REG_ID],[VAR],[YEAR],[VALUE])  Values ( 'JPD13','VEH_THEFT','2009','548')</v>
          </cell>
        </row>
        <row r="80">
          <cell r="A80" t="str">
            <v>JPD14</v>
          </cell>
          <cell r="B80" t="str">
            <v>VEH_THEFT</v>
          </cell>
          <cell r="C80">
            <v>2009</v>
          </cell>
          <cell r="D80">
            <v>1450</v>
          </cell>
          <cell r="E80" t="str">
            <v>INSERT INTO  INPUT.FLAT ([REG_ID],[VAR],[YEAR],[VALUE])  Values ( 'JPD14','VEH_THEFT','2009','1450')</v>
          </cell>
        </row>
        <row r="81">
          <cell r="A81" t="str">
            <v>JPE</v>
          </cell>
          <cell r="B81" t="str">
            <v>VEH_THEFT</v>
          </cell>
          <cell r="C81">
            <v>2009</v>
          </cell>
          <cell r="D81">
            <v>319</v>
          </cell>
          <cell r="E81" t="str">
            <v>INSERT INTO  INPUT.FLAT ([REG_ID],[VAR],[YEAR],[VALUE])  Values ( 'JPE','VEH_THEFT','2009','319')</v>
          </cell>
        </row>
        <row r="82">
          <cell r="A82" t="str">
            <v>JPE15</v>
          </cell>
          <cell r="B82" t="str">
            <v>VEH_THEFT</v>
          </cell>
          <cell r="C82">
            <v>2009</v>
          </cell>
          <cell r="D82">
            <v>146</v>
          </cell>
          <cell r="E82" t="str">
            <v>INSERT INTO  INPUT.FLAT ([REG_ID],[VAR],[YEAR],[VALUE])  Values ( 'JPE15','VEH_THEFT','2009','146')</v>
          </cell>
        </row>
        <row r="83">
          <cell r="A83" t="str">
            <v>JPE16</v>
          </cell>
          <cell r="B83" t="str">
            <v>VEH_THEFT</v>
          </cell>
          <cell r="C83">
            <v>2009</v>
          </cell>
          <cell r="D83">
            <v>61</v>
          </cell>
          <cell r="E83" t="str">
            <v>INSERT INTO  INPUT.FLAT ([REG_ID],[VAR],[YEAR],[VALUE])  Values ( 'JPE16','VEH_THEFT','2009','61')</v>
          </cell>
        </row>
        <row r="84">
          <cell r="A84" t="str">
            <v>JPE17</v>
          </cell>
          <cell r="B84" t="str">
            <v>VEH_THEFT</v>
          </cell>
          <cell r="C84">
            <v>2009</v>
          </cell>
          <cell r="D84">
            <v>54</v>
          </cell>
          <cell r="E84" t="str">
            <v>INSERT INTO  INPUT.FLAT ([REG_ID],[VAR],[YEAR],[VALUE])  Values ( 'JPE17','VEH_THEFT','2009','54')</v>
          </cell>
        </row>
        <row r="85">
          <cell r="A85" t="str">
            <v>JPE18</v>
          </cell>
          <cell r="B85" t="str">
            <v>VEH_THEFT</v>
          </cell>
          <cell r="C85">
            <v>2009</v>
          </cell>
          <cell r="D85">
            <v>58</v>
          </cell>
          <cell r="E85" t="str">
            <v>INSERT INTO  INPUT.FLAT ([REG_ID],[VAR],[YEAR],[VALUE])  Values ( 'JPE18','VEH_THEFT','2009','58')</v>
          </cell>
        </row>
        <row r="86">
          <cell r="A86" t="str">
            <v>JPF</v>
          </cell>
          <cell r="B86" t="str">
            <v>VEH_THEFT</v>
          </cell>
          <cell r="C86">
            <v>2009</v>
          </cell>
          <cell r="D86">
            <v>5695</v>
          </cell>
          <cell r="E86" t="str">
            <v>INSERT INTO  INPUT.FLAT ([REG_ID],[VAR],[YEAR],[VALUE])  Values ( 'JPF','VEH_THEFT','2009','5695')</v>
          </cell>
        </row>
        <row r="87">
          <cell r="A87" t="str">
            <v>JPF21</v>
          </cell>
          <cell r="B87" t="str">
            <v>VEH_THEFT</v>
          </cell>
          <cell r="C87">
            <v>2009</v>
          </cell>
          <cell r="D87">
            <v>415</v>
          </cell>
          <cell r="E87" t="str">
            <v>INSERT INTO  INPUT.FLAT ([REG_ID],[VAR],[YEAR],[VALUE])  Values ( 'JPF21','VEH_THEFT','2009','415')</v>
          </cell>
        </row>
        <row r="88">
          <cell r="A88" t="str">
            <v>JPF22</v>
          </cell>
          <cell r="B88" t="str">
            <v>VEH_THEFT</v>
          </cell>
          <cell r="C88">
            <v>2009</v>
          </cell>
          <cell r="D88">
            <v>436</v>
          </cell>
          <cell r="E88" t="str">
            <v>INSERT INTO  INPUT.FLAT ([REG_ID],[VAR],[YEAR],[VALUE])  Values ( 'JPF22','VEH_THEFT','2009','436')</v>
          </cell>
        </row>
        <row r="89">
          <cell r="A89" t="str">
            <v>JPF23</v>
          </cell>
          <cell r="B89" t="str">
            <v>VEH_THEFT</v>
          </cell>
          <cell r="C89">
            <v>2009</v>
          </cell>
          <cell r="D89">
            <v>4442</v>
          </cell>
          <cell r="E89" t="str">
            <v>INSERT INTO  INPUT.FLAT ([REG_ID],[VAR],[YEAR],[VALUE])  Values ( 'JPF23','VEH_THEFT','2009','4442')</v>
          </cell>
        </row>
        <row r="90">
          <cell r="A90" t="str">
            <v>JPF24</v>
          </cell>
          <cell r="B90" t="str">
            <v>VEH_THEFT</v>
          </cell>
          <cell r="C90">
            <v>2009</v>
          </cell>
          <cell r="D90">
            <v>402</v>
          </cell>
          <cell r="E90" t="str">
            <v>INSERT INTO  INPUT.FLAT ([REG_ID],[VAR],[YEAR],[VALUE])  Values ( 'JPF24','VEH_THEFT','2009','402')</v>
          </cell>
        </row>
        <row r="91">
          <cell r="A91" t="str">
            <v>JPG</v>
          </cell>
          <cell r="B91" t="str">
            <v>VEH_THEFT</v>
          </cell>
          <cell r="C91">
            <v>2009</v>
          </cell>
          <cell r="D91">
            <v>5517</v>
          </cell>
          <cell r="E91" t="str">
            <v>INSERT INTO  INPUT.FLAT ([REG_ID],[VAR],[YEAR],[VALUE])  Values ( 'JPG','VEH_THEFT','2009','5517')</v>
          </cell>
        </row>
        <row r="92">
          <cell r="A92" t="str">
            <v>JPG25</v>
          </cell>
          <cell r="B92" t="str">
            <v>VEH_THEFT</v>
          </cell>
          <cell r="C92">
            <v>2009</v>
          </cell>
          <cell r="D92">
            <v>201</v>
          </cell>
          <cell r="E92" t="str">
            <v>INSERT INTO  INPUT.FLAT ([REG_ID],[VAR],[YEAR],[VALUE])  Values ( 'JPG25','VEH_THEFT','2009','201')</v>
          </cell>
        </row>
        <row r="93">
          <cell r="A93" t="str">
            <v>JPG26</v>
          </cell>
          <cell r="B93" t="str">
            <v>VEH_THEFT</v>
          </cell>
          <cell r="C93">
            <v>2009</v>
          </cell>
          <cell r="D93">
            <v>302</v>
          </cell>
          <cell r="E93" t="str">
            <v>INSERT INTO  INPUT.FLAT ([REG_ID],[VAR],[YEAR],[VALUE])  Values ( 'JPG26','VEH_THEFT','2009','302')</v>
          </cell>
        </row>
        <row r="94">
          <cell r="A94" t="str">
            <v>JPG27</v>
          </cell>
          <cell r="B94" t="str">
            <v>VEH_THEFT</v>
          </cell>
          <cell r="C94">
            <v>2009</v>
          </cell>
          <cell r="D94">
            <v>2746</v>
          </cell>
          <cell r="E94" t="str">
            <v>INSERT INTO  INPUT.FLAT ([REG_ID],[VAR],[YEAR],[VALUE])  Values ( 'JPG27','VEH_THEFT','2009','2746')</v>
          </cell>
        </row>
        <row r="95">
          <cell r="A95" t="str">
            <v>JPG28</v>
          </cell>
          <cell r="B95" t="str">
            <v>VEH_THEFT</v>
          </cell>
          <cell r="C95">
            <v>2009</v>
          </cell>
          <cell r="D95">
            <v>1885</v>
          </cell>
          <cell r="E95" t="str">
            <v>INSERT INTO  INPUT.FLAT ([REG_ID],[VAR],[YEAR],[VALUE])  Values ( 'JPG28','VEH_THEFT','2009','1885')</v>
          </cell>
        </row>
        <row r="96">
          <cell r="A96" t="str">
            <v>JPG29</v>
          </cell>
          <cell r="B96" t="str">
            <v>VEH_THEFT</v>
          </cell>
          <cell r="C96">
            <v>2009</v>
          </cell>
          <cell r="D96">
            <v>260</v>
          </cell>
          <cell r="E96" t="str">
            <v>INSERT INTO  INPUT.FLAT ([REG_ID],[VAR],[YEAR],[VALUE])  Values ( 'JPG29','VEH_THEFT','2009','260')</v>
          </cell>
        </row>
        <row r="97">
          <cell r="A97" t="str">
            <v>JPG30</v>
          </cell>
          <cell r="B97" t="str">
            <v>VEH_THEFT</v>
          </cell>
          <cell r="C97">
            <v>2009</v>
          </cell>
          <cell r="D97">
            <v>123</v>
          </cell>
          <cell r="E97" t="str">
            <v>INSERT INTO  INPUT.FLAT ([REG_ID],[VAR],[YEAR],[VALUE])  Values ( 'JPG30','VEH_THEFT','2009','123')</v>
          </cell>
        </row>
        <row r="98">
          <cell r="A98" t="str">
            <v>JPH</v>
          </cell>
          <cell r="B98" t="str">
            <v>VEH_THEFT</v>
          </cell>
          <cell r="C98">
            <v>2009</v>
          </cell>
          <cell r="D98">
            <v>443</v>
          </cell>
          <cell r="E98" t="str">
            <v>INSERT INTO  INPUT.FLAT ([REG_ID],[VAR],[YEAR],[VALUE])  Values ( 'JPH','VEH_THEFT','2009','443')</v>
          </cell>
        </row>
        <row r="99">
          <cell r="A99" t="str">
            <v>JPH31</v>
          </cell>
          <cell r="B99" t="str">
            <v>VEH_THEFT</v>
          </cell>
          <cell r="C99">
            <v>2009</v>
          </cell>
          <cell r="D99">
            <v>39</v>
          </cell>
          <cell r="E99" t="str">
            <v>INSERT INTO  INPUT.FLAT ([REG_ID],[VAR],[YEAR],[VALUE])  Values ( 'JPH31','VEH_THEFT','2009','39')</v>
          </cell>
        </row>
        <row r="100">
          <cell r="A100" t="str">
            <v>JPH32</v>
          </cell>
          <cell r="B100" t="str">
            <v>VEH_THEFT</v>
          </cell>
          <cell r="C100">
            <v>2009</v>
          </cell>
          <cell r="D100">
            <v>26</v>
          </cell>
          <cell r="E100" t="str">
            <v>INSERT INTO  INPUT.FLAT ([REG_ID],[VAR],[YEAR],[VALUE])  Values ( 'JPH32','VEH_THEFT','2009','26')</v>
          </cell>
        </row>
        <row r="101">
          <cell r="A101" t="str">
            <v>JPH33</v>
          </cell>
          <cell r="B101" t="str">
            <v>VEH_THEFT</v>
          </cell>
          <cell r="C101">
            <v>2009</v>
          </cell>
          <cell r="D101">
            <v>193</v>
          </cell>
          <cell r="E101" t="str">
            <v>INSERT INTO  INPUT.FLAT ([REG_ID],[VAR],[YEAR],[VALUE])  Values ( 'JPH33','VEH_THEFT','2009','193')</v>
          </cell>
        </row>
        <row r="102">
          <cell r="A102" t="str">
            <v>JPH34</v>
          </cell>
          <cell r="B102" t="str">
            <v>VEH_THEFT</v>
          </cell>
          <cell r="C102">
            <v>2009</v>
          </cell>
          <cell r="D102">
            <v>127</v>
          </cell>
          <cell r="E102" t="str">
            <v>INSERT INTO  INPUT.FLAT ([REG_ID],[VAR],[YEAR],[VALUE])  Values ( 'JPH34','VEH_THEFT','2009','127')</v>
          </cell>
        </row>
        <row r="103">
          <cell r="A103" t="str">
            <v>JPH35</v>
          </cell>
          <cell r="B103" t="str">
            <v>VEH_THEFT</v>
          </cell>
          <cell r="C103">
            <v>2009</v>
          </cell>
          <cell r="D103">
            <v>58</v>
          </cell>
          <cell r="E103" t="str">
            <v>INSERT INTO  INPUT.FLAT ([REG_ID],[VAR],[YEAR],[VALUE])  Values ( 'JPH35','VEH_THEFT','2009','58')</v>
          </cell>
        </row>
        <row r="104">
          <cell r="A104" t="str">
            <v>JPI</v>
          </cell>
          <cell r="B104" t="str">
            <v>VEH_THEFT</v>
          </cell>
          <cell r="C104">
            <v>2009</v>
          </cell>
          <cell r="D104">
            <v>209</v>
          </cell>
          <cell r="E104" t="str">
            <v>INSERT INTO  INPUT.FLAT ([REG_ID],[VAR],[YEAR],[VALUE])  Values ( 'JPI','VEH_THEFT','2009','209')</v>
          </cell>
        </row>
        <row r="105">
          <cell r="A105" t="str">
            <v>JPI36</v>
          </cell>
          <cell r="B105" t="str">
            <v>VEH_THEFT</v>
          </cell>
          <cell r="C105">
            <v>2009</v>
          </cell>
          <cell r="D105">
            <v>16</v>
          </cell>
          <cell r="E105" t="str">
            <v>INSERT INTO  INPUT.FLAT ([REG_ID],[VAR],[YEAR],[VALUE])  Values ( 'JPI36','VEH_THEFT','2009','16')</v>
          </cell>
        </row>
        <row r="106">
          <cell r="A106" t="str">
            <v>JPI37</v>
          </cell>
          <cell r="B106" t="str">
            <v>VEH_THEFT</v>
          </cell>
          <cell r="C106">
            <v>2009</v>
          </cell>
          <cell r="D106">
            <v>61</v>
          </cell>
          <cell r="E106" t="str">
            <v>INSERT INTO  INPUT.FLAT ([REG_ID],[VAR],[YEAR],[VALUE])  Values ( 'JPI37','VEH_THEFT','2009','61')</v>
          </cell>
        </row>
        <row r="107">
          <cell r="A107" t="str">
            <v>JPI38</v>
          </cell>
          <cell r="B107" t="str">
            <v>VEH_THEFT</v>
          </cell>
          <cell r="C107">
            <v>2009</v>
          </cell>
          <cell r="D107">
            <v>96</v>
          </cell>
          <cell r="E107" t="str">
            <v>INSERT INTO  INPUT.FLAT ([REG_ID],[VAR],[YEAR],[VALUE])  Values ( 'JPI38','VEH_THEFT','2009','96')</v>
          </cell>
        </row>
        <row r="108">
          <cell r="A108" t="str">
            <v>JPI39</v>
          </cell>
          <cell r="B108" t="str">
            <v>VEH_THEFT</v>
          </cell>
          <cell r="C108">
            <v>2009</v>
          </cell>
          <cell r="D108">
            <v>36</v>
          </cell>
          <cell r="E108" t="str">
            <v>INSERT INTO  INPUT.FLAT ([REG_ID],[VAR],[YEAR],[VALUE])  Values ( 'JPI39','VEH_THEFT','2009','36')</v>
          </cell>
        </row>
        <row r="109">
          <cell r="A109" t="str">
            <v>JPJ</v>
          </cell>
          <cell r="B109" t="str">
            <v>VEH_THEFT</v>
          </cell>
          <cell r="C109">
            <v>2009</v>
          </cell>
          <cell r="D109">
            <v>1623</v>
          </cell>
          <cell r="E109" t="str">
            <v>INSERT INTO  INPUT.FLAT ([REG_ID],[VAR],[YEAR],[VALUE])  Values ( 'JPJ','VEH_THEFT','2009','1623')</v>
          </cell>
        </row>
        <row r="110">
          <cell r="A110" t="str">
            <v>JPJ40</v>
          </cell>
          <cell r="B110" t="str">
            <v>VEH_THEFT</v>
          </cell>
          <cell r="C110">
            <v>2009</v>
          </cell>
          <cell r="D110">
            <v>1154</v>
          </cell>
          <cell r="E110" t="str">
            <v>INSERT INTO  INPUT.FLAT ([REG_ID],[VAR],[YEAR],[VALUE])  Values ( 'JPJ40','VEH_THEFT','2009','1154')</v>
          </cell>
        </row>
        <row r="111">
          <cell r="A111" t="str">
            <v>JPJ41</v>
          </cell>
          <cell r="B111" t="str">
            <v>VEH_THEFT</v>
          </cell>
          <cell r="C111">
            <v>2009</v>
          </cell>
          <cell r="D111">
            <v>53</v>
          </cell>
          <cell r="E111" t="str">
            <v>INSERT INTO  INPUT.FLAT ([REG_ID],[VAR],[YEAR],[VALUE])  Values ( 'JPJ41','VEH_THEFT','2009','53')</v>
          </cell>
        </row>
        <row r="112">
          <cell r="A112" t="str">
            <v>JPJ42</v>
          </cell>
          <cell r="B112" t="str">
            <v>VEH_THEFT</v>
          </cell>
          <cell r="C112">
            <v>2009</v>
          </cell>
          <cell r="D112">
            <v>35</v>
          </cell>
          <cell r="E112" t="str">
            <v>INSERT INTO  INPUT.FLAT ([REG_ID],[VAR],[YEAR],[VALUE])  Values ( 'JPJ42','VEH_THEFT','2009','35')</v>
          </cell>
        </row>
        <row r="113">
          <cell r="A113" t="str">
            <v>JPJ43</v>
          </cell>
          <cell r="B113" t="str">
            <v>VEH_THEFT</v>
          </cell>
          <cell r="C113">
            <v>2009</v>
          </cell>
          <cell r="D113">
            <v>100</v>
          </cell>
          <cell r="E113" t="str">
            <v>INSERT INTO  INPUT.FLAT ([REG_ID],[VAR],[YEAR],[VALUE])  Values ( 'JPJ43','VEH_THEFT','2009','100')</v>
          </cell>
        </row>
        <row r="114">
          <cell r="A114" t="str">
            <v>JPJ44</v>
          </cell>
          <cell r="B114" t="str">
            <v>VEH_THEFT</v>
          </cell>
          <cell r="C114">
            <v>2009</v>
          </cell>
          <cell r="D114">
            <v>42</v>
          </cell>
          <cell r="E114" t="str">
            <v>INSERT INTO  INPUT.FLAT ([REG_ID],[VAR],[YEAR],[VALUE])  Values ( 'JPJ44','VEH_THEFT','2009','42')</v>
          </cell>
        </row>
        <row r="115">
          <cell r="A115" t="str">
            <v>JPJ45</v>
          </cell>
          <cell r="B115" t="str">
            <v>VEH_THEFT</v>
          </cell>
          <cell r="C115">
            <v>2009</v>
          </cell>
          <cell r="D115">
            <v>41</v>
          </cell>
          <cell r="E115" t="str">
            <v>INSERT INTO  INPUT.FLAT ([REG_ID],[VAR],[YEAR],[VALUE])  Values ( 'JPJ45','VEH_THEFT','2009','41')</v>
          </cell>
        </row>
        <row r="116">
          <cell r="A116" t="str">
            <v>JPJ46</v>
          </cell>
          <cell r="B116" t="str">
            <v>VEH_THEFT</v>
          </cell>
          <cell r="C116">
            <v>2009</v>
          </cell>
          <cell r="D116">
            <v>73</v>
          </cell>
          <cell r="E116" t="str">
            <v>INSERT INTO  INPUT.FLAT ([REG_ID],[VAR],[YEAR],[VALUE])  Values ( 'JPJ46','VEH_THEFT','2009','73')</v>
          </cell>
        </row>
        <row r="117">
          <cell r="A117" t="str">
            <v>JPJ47</v>
          </cell>
          <cell r="B117" t="str">
            <v>VEH_THEFT</v>
          </cell>
          <cell r="C117">
            <v>2009</v>
          </cell>
          <cell r="D117">
            <v>125</v>
          </cell>
          <cell r="E117" t="str">
            <v>INSERT INTO  INPUT.FLAT ([REG_ID],[VAR],[YEAR],[VALUE])  Values ( 'JPJ47','VEH_THEFT','2009','125')</v>
          </cell>
        </row>
        <row r="118">
          <cell r="A118" t="str">
            <v>JPN</v>
          </cell>
          <cell r="B118" t="str">
            <v>VEH_THEFT</v>
          </cell>
          <cell r="C118">
            <v>2008</v>
          </cell>
          <cell r="D118">
            <v>27502</v>
          </cell>
          <cell r="E118" t="str">
            <v>INSERT INTO  INPUT.FLAT ([REG_ID],[VAR],[YEAR],[VALUE])  Values ( 'JPN','VEH_THEFT','2008','27502')</v>
          </cell>
        </row>
        <row r="119">
          <cell r="A119" t="str">
            <v>JPA</v>
          </cell>
          <cell r="B119" t="str">
            <v>VEH_THEFT</v>
          </cell>
          <cell r="C119">
            <v>2008</v>
          </cell>
          <cell r="D119">
            <v>783</v>
          </cell>
          <cell r="E119" t="str">
            <v>INSERT INTO  INPUT.FLAT ([REG_ID],[VAR],[YEAR],[VALUE])  Values ( 'JPA','VEH_THEFT','2008','783')</v>
          </cell>
        </row>
        <row r="120">
          <cell r="A120" t="str">
            <v>JPA01</v>
          </cell>
          <cell r="B120" t="str">
            <v>VEH_THEFT</v>
          </cell>
          <cell r="C120">
            <v>2008</v>
          </cell>
          <cell r="D120">
            <v>783</v>
          </cell>
          <cell r="E120" t="str">
            <v>INSERT INTO  INPUT.FLAT ([REG_ID],[VAR],[YEAR],[VALUE])  Values ( 'JPA01','VEH_THEFT','2008','783')</v>
          </cell>
        </row>
        <row r="121">
          <cell r="A121" t="str">
            <v>JPB</v>
          </cell>
          <cell r="B121" t="str">
            <v>VEH_THEFT</v>
          </cell>
          <cell r="C121">
            <v>2008</v>
          </cell>
          <cell r="D121">
            <v>667</v>
          </cell>
          <cell r="E121" t="str">
            <v>INSERT INTO  INPUT.FLAT ([REG_ID],[VAR],[YEAR],[VALUE])  Values ( 'JPB','VEH_THEFT','2008','667')</v>
          </cell>
        </row>
        <row r="122">
          <cell r="A122" t="str">
            <v>JPB02</v>
          </cell>
          <cell r="B122" t="str">
            <v>VEH_THEFT</v>
          </cell>
          <cell r="C122">
            <v>2008</v>
          </cell>
          <cell r="D122">
            <v>84</v>
          </cell>
          <cell r="E122" t="str">
            <v>INSERT INTO  INPUT.FLAT ([REG_ID],[VAR],[YEAR],[VALUE])  Values ( 'JPB02','VEH_THEFT','2008','84')</v>
          </cell>
        </row>
        <row r="123">
          <cell r="A123" t="str">
            <v>JPB03</v>
          </cell>
          <cell r="B123" t="str">
            <v>VEH_THEFT</v>
          </cell>
          <cell r="C123">
            <v>2008</v>
          </cell>
          <cell r="D123">
            <v>37</v>
          </cell>
          <cell r="E123" t="str">
            <v>INSERT INTO  INPUT.FLAT ([REG_ID],[VAR],[YEAR],[VALUE])  Values ( 'JPB03','VEH_THEFT','2008','37')</v>
          </cell>
        </row>
        <row r="124">
          <cell r="A124" t="str">
            <v>JPB04</v>
          </cell>
          <cell r="B124" t="str">
            <v>VEH_THEFT</v>
          </cell>
          <cell r="C124">
            <v>2008</v>
          </cell>
          <cell r="D124">
            <v>304</v>
          </cell>
          <cell r="E124" t="str">
            <v>INSERT INTO  INPUT.FLAT ([REG_ID],[VAR],[YEAR],[VALUE])  Values ( 'JPB04','VEH_THEFT','2008','304')</v>
          </cell>
        </row>
        <row r="125">
          <cell r="A125" t="str">
            <v>JPB05</v>
          </cell>
          <cell r="B125" t="str">
            <v>VEH_THEFT</v>
          </cell>
          <cell r="C125">
            <v>2008</v>
          </cell>
          <cell r="D125">
            <v>32</v>
          </cell>
          <cell r="E125" t="str">
            <v>INSERT INTO  INPUT.FLAT ([REG_ID],[VAR],[YEAR],[VALUE])  Values ( 'JPB05','VEH_THEFT','2008','32')</v>
          </cell>
        </row>
        <row r="126">
          <cell r="A126" t="str">
            <v>JPB06</v>
          </cell>
          <cell r="B126" t="str">
            <v>VEH_THEFT</v>
          </cell>
          <cell r="C126">
            <v>2008</v>
          </cell>
          <cell r="D126">
            <v>43</v>
          </cell>
          <cell r="E126" t="str">
            <v>INSERT INTO  INPUT.FLAT ([REG_ID],[VAR],[YEAR],[VALUE])  Values ( 'JPB06','VEH_THEFT','2008','43')</v>
          </cell>
        </row>
        <row r="127">
          <cell r="A127" t="str">
            <v>JPB07</v>
          </cell>
          <cell r="B127" t="str">
            <v>VEH_THEFT</v>
          </cell>
          <cell r="C127">
            <v>2008</v>
          </cell>
          <cell r="D127">
            <v>167</v>
          </cell>
          <cell r="E127" t="str">
            <v>INSERT INTO  INPUT.FLAT ([REG_ID],[VAR],[YEAR],[VALUE])  Values ( 'JPB07','VEH_THEFT','2008','167')</v>
          </cell>
        </row>
        <row r="128">
          <cell r="A128" t="str">
            <v>JPC</v>
          </cell>
          <cell r="B128" t="str">
            <v>VEH_THEFT</v>
          </cell>
          <cell r="C128">
            <v>2008</v>
          </cell>
          <cell r="D128">
            <v>3507</v>
          </cell>
          <cell r="E128" t="str">
            <v>INSERT INTO  INPUT.FLAT ([REG_ID],[VAR],[YEAR],[VALUE])  Values ( 'JPC','VEH_THEFT','2008','3507')</v>
          </cell>
        </row>
        <row r="129">
          <cell r="A129" t="str">
            <v>JPC19</v>
          </cell>
          <cell r="B129" t="str">
            <v>VEH_THEFT</v>
          </cell>
          <cell r="C129">
            <v>2008</v>
          </cell>
          <cell r="D129">
            <v>102</v>
          </cell>
          <cell r="E129" t="str">
            <v>INSERT INTO  INPUT.FLAT ([REG_ID],[VAR],[YEAR],[VALUE])  Values ( 'JPC19','VEH_THEFT','2008','102')</v>
          </cell>
        </row>
        <row r="130">
          <cell r="A130" t="str">
            <v>JPC20</v>
          </cell>
          <cell r="B130" t="str">
            <v>VEH_THEFT</v>
          </cell>
          <cell r="C130">
            <v>2008</v>
          </cell>
          <cell r="D130">
            <v>207</v>
          </cell>
          <cell r="E130" t="str">
            <v>INSERT INTO  INPUT.FLAT ([REG_ID],[VAR],[YEAR],[VALUE])  Values ( 'JPC20','VEH_THEFT','2008','207')</v>
          </cell>
        </row>
        <row r="131">
          <cell r="A131" t="str">
            <v>JPC08</v>
          </cell>
          <cell r="B131" t="str">
            <v>VEH_THEFT</v>
          </cell>
          <cell r="C131">
            <v>2008</v>
          </cell>
          <cell r="D131">
            <v>2194</v>
          </cell>
          <cell r="E131" t="str">
            <v>INSERT INTO  INPUT.FLAT ([REG_ID],[VAR],[YEAR],[VALUE])  Values ( 'JPC08','VEH_THEFT','2008','2194')</v>
          </cell>
        </row>
        <row r="132">
          <cell r="A132" t="str">
            <v>JPC09</v>
          </cell>
          <cell r="B132" t="str">
            <v>VEH_THEFT</v>
          </cell>
          <cell r="C132">
            <v>2008</v>
          </cell>
          <cell r="D132">
            <v>524</v>
          </cell>
          <cell r="E132" t="str">
            <v>INSERT INTO  INPUT.FLAT ([REG_ID],[VAR],[YEAR],[VALUE])  Values ( 'JPC09','VEH_THEFT','2008','524')</v>
          </cell>
        </row>
        <row r="133">
          <cell r="A133" t="str">
            <v>JPC10</v>
          </cell>
          <cell r="B133" t="str">
            <v>VEH_THEFT</v>
          </cell>
          <cell r="C133">
            <v>2008</v>
          </cell>
          <cell r="D133">
            <v>480</v>
          </cell>
          <cell r="E133" t="str">
            <v>INSERT INTO  INPUT.FLAT ([REG_ID],[VAR],[YEAR],[VALUE])  Values ( 'JPC10','VEH_THEFT','2008','480')</v>
          </cell>
        </row>
        <row r="134">
          <cell r="A134" t="str">
            <v>JPD</v>
          </cell>
          <cell r="B134" t="str">
            <v>VEH_THEFT</v>
          </cell>
          <cell r="C134">
            <v>2008</v>
          </cell>
          <cell r="D134">
            <v>7589</v>
          </cell>
          <cell r="E134" t="str">
            <v>INSERT INTO  INPUT.FLAT ([REG_ID],[VAR],[YEAR],[VALUE])  Values ( 'JPD','VEH_THEFT','2008','7589')</v>
          </cell>
        </row>
        <row r="135">
          <cell r="A135" t="str">
            <v>JPD11</v>
          </cell>
          <cell r="B135" t="str">
            <v>VEH_THEFT</v>
          </cell>
          <cell r="C135">
            <v>2008</v>
          </cell>
          <cell r="D135">
            <v>1295</v>
          </cell>
          <cell r="E135" t="str">
            <v>INSERT INTO  INPUT.FLAT ([REG_ID],[VAR],[YEAR],[VALUE])  Values ( 'JPD11','VEH_THEFT','2008','1295')</v>
          </cell>
        </row>
        <row r="136">
          <cell r="A136" t="str">
            <v>JPD12</v>
          </cell>
          <cell r="B136" t="str">
            <v>VEH_THEFT</v>
          </cell>
          <cell r="C136">
            <v>2008</v>
          </cell>
          <cell r="D136">
            <v>3665</v>
          </cell>
          <cell r="E136" t="str">
            <v>INSERT INTO  INPUT.FLAT ([REG_ID],[VAR],[YEAR],[VALUE])  Values ( 'JPD12','VEH_THEFT','2008','3665')</v>
          </cell>
        </row>
        <row r="137">
          <cell r="A137" t="str">
            <v>JPD13</v>
          </cell>
          <cell r="B137" t="str">
            <v>VEH_THEFT</v>
          </cell>
          <cell r="C137">
            <v>2008</v>
          </cell>
          <cell r="D137">
            <v>685</v>
          </cell>
          <cell r="E137" t="str">
            <v>INSERT INTO  INPUT.FLAT ([REG_ID],[VAR],[YEAR],[VALUE])  Values ( 'JPD13','VEH_THEFT','2008','685')</v>
          </cell>
        </row>
        <row r="138">
          <cell r="A138" t="str">
            <v>JPD14</v>
          </cell>
          <cell r="B138" t="str">
            <v>VEH_THEFT</v>
          </cell>
          <cell r="C138">
            <v>2008</v>
          </cell>
          <cell r="D138">
            <v>1944</v>
          </cell>
          <cell r="E138" t="str">
            <v>INSERT INTO  INPUT.FLAT ([REG_ID],[VAR],[YEAR],[VALUE])  Values ( 'JPD14','VEH_THEFT','2008','1944')</v>
          </cell>
        </row>
        <row r="139">
          <cell r="A139" t="str">
            <v>JPE</v>
          </cell>
          <cell r="B139" t="str">
            <v>VEH_THEFT</v>
          </cell>
          <cell r="C139">
            <v>2008</v>
          </cell>
          <cell r="D139">
            <v>348</v>
          </cell>
          <cell r="E139" t="str">
            <v>INSERT INTO  INPUT.FLAT ([REG_ID],[VAR],[YEAR],[VALUE])  Values ( 'JPE','VEH_THEFT','2008','348')</v>
          </cell>
        </row>
        <row r="140">
          <cell r="A140" t="str">
            <v>JPE15</v>
          </cell>
          <cell r="B140" t="str">
            <v>VEH_THEFT</v>
          </cell>
          <cell r="C140">
            <v>2008</v>
          </cell>
          <cell r="D140">
            <v>138</v>
          </cell>
          <cell r="E140" t="str">
            <v>INSERT INTO  INPUT.FLAT ([REG_ID],[VAR],[YEAR],[VALUE])  Values ( 'JPE15','VEH_THEFT','2008','138')</v>
          </cell>
        </row>
        <row r="141">
          <cell r="A141" t="str">
            <v>JPE16</v>
          </cell>
          <cell r="B141" t="str">
            <v>VEH_THEFT</v>
          </cell>
          <cell r="C141">
            <v>2008</v>
          </cell>
          <cell r="D141">
            <v>78</v>
          </cell>
          <cell r="E141" t="str">
            <v>INSERT INTO  INPUT.FLAT ([REG_ID],[VAR],[YEAR],[VALUE])  Values ( 'JPE16','VEH_THEFT','2008','78')</v>
          </cell>
        </row>
        <row r="142">
          <cell r="A142" t="str">
            <v>JPE17</v>
          </cell>
          <cell r="B142" t="str">
            <v>VEH_THEFT</v>
          </cell>
          <cell r="C142">
            <v>2008</v>
          </cell>
          <cell r="D142">
            <v>59</v>
          </cell>
          <cell r="E142" t="str">
            <v>INSERT INTO  INPUT.FLAT ([REG_ID],[VAR],[YEAR],[VALUE])  Values ( 'JPE17','VEH_THEFT','2008','59')</v>
          </cell>
        </row>
        <row r="143">
          <cell r="A143" t="str">
            <v>JPE18</v>
          </cell>
          <cell r="B143" t="str">
            <v>VEH_THEFT</v>
          </cell>
          <cell r="C143">
            <v>2008</v>
          </cell>
          <cell r="D143">
            <v>73</v>
          </cell>
          <cell r="E143" t="str">
            <v>INSERT INTO  INPUT.FLAT ([REG_ID],[VAR],[YEAR],[VALUE])  Values ( 'JPE18','VEH_THEFT','2008','73')</v>
          </cell>
        </row>
        <row r="144">
          <cell r="A144" t="str">
            <v>JPF</v>
          </cell>
          <cell r="B144" t="str">
            <v>VEH_THEFT</v>
          </cell>
          <cell r="C144">
            <v>2008</v>
          </cell>
          <cell r="D144">
            <v>5252</v>
          </cell>
          <cell r="E144" t="str">
            <v>INSERT INTO  INPUT.FLAT ([REG_ID],[VAR],[YEAR],[VALUE])  Values ( 'JPF','VEH_THEFT','2008','5252')</v>
          </cell>
        </row>
        <row r="145">
          <cell r="A145" t="str">
            <v>JPF21</v>
          </cell>
          <cell r="B145" t="str">
            <v>VEH_THEFT</v>
          </cell>
          <cell r="C145">
            <v>2008</v>
          </cell>
          <cell r="D145">
            <v>454</v>
          </cell>
          <cell r="E145" t="str">
            <v>INSERT INTO  INPUT.FLAT ([REG_ID],[VAR],[YEAR],[VALUE])  Values ( 'JPF21','VEH_THEFT','2008','454')</v>
          </cell>
        </row>
        <row r="146">
          <cell r="A146" t="str">
            <v>JPF22</v>
          </cell>
          <cell r="B146" t="str">
            <v>VEH_THEFT</v>
          </cell>
          <cell r="C146">
            <v>2008</v>
          </cell>
          <cell r="D146">
            <v>417</v>
          </cell>
          <cell r="E146" t="str">
            <v>INSERT INTO  INPUT.FLAT ([REG_ID],[VAR],[YEAR],[VALUE])  Values ( 'JPF22','VEH_THEFT','2008','417')</v>
          </cell>
        </row>
        <row r="147">
          <cell r="A147" t="str">
            <v>JPF23</v>
          </cell>
          <cell r="B147" t="str">
            <v>VEH_THEFT</v>
          </cell>
          <cell r="C147">
            <v>2008</v>
          </cell>
          <cell r="D147">
            <v>4001</v>
          </cell>
          <cell r="E147" t="str">
            <v>INSERT INTO  INPUT.FLAT ([REG_ID],[VAR],[YEAR],[VALUE])  Values ( 'JPF23','VEH_THEFT','2008','4001')</v>
          </cell>
        </row>
        <row r="148">
          <cell r="A148" t="str">
            <v>JPF24</v>
          </cell>
          <cell r="B148" t="str">
            <v>VEH_THEFT</v>
          </cell>
          <cell r="C148">
            <v>2008</v>
          </cell>
          <cell r="D148">
            <v>380</v>
          </cell>
          <cell r="E148" t="str">
            <v>INSERT INTO  INPUT.FLAT ([REG_ID],[VAR],[YEAR],[VALUE])  Values ( 'JPF24','VEH_THEFT','2008','380')</v>
          </cell>
        </row>
        <row r="149">
          <cell r="A149" t="str">
            <v>JPG</v>
          </cell>
          <cell r="B149" t="str">
            <v>VEH_THEFT</v>
          </cell>
          <cell r="C149">
            <v>2008</v>
          </cell>
          <cell r="D149">
            <v>6572</v>
          </cell>
          <cell r="E149" t="str">
            <v>INSERT INTO  INPUT.FLAT ([REG_ID],[VAR],[YEAR],[VALUE])  Values ( 'JPG','VEH_THEFT','2008','6572')</v>
          </cell>
        </row>
        <row r="150">
          <cell r="A150" t="str">
            <v>JPG25</v>
          </cell>
          <cell r="B150" t="str">
            <v>VEH_THEFT</v>
          </cell>
          <cell r="C150">
            <v>2008</v>
          </cell>
          <cell r="D150">
            <v>233</v>
          </cell>
          <cell r="E150" t="str">
            <v>INSERT INTO  INPUT.FLAT ([REG_ID],[VAR],[YEAR],[VALUE])  Values ( 'JPG25','VEH_THEFT','2008','233')</v>
          </cell>
        </row>
        <row r="151">
          <cell r="A151" t="str">
            <v>JPG26</v>
          </cell>
          <cell r="B151" t="str">
            <v>VEH_THEFT</v>
          </cell>
          <cell r="C151">
            <v>2008</v>
          </cell>
          <cell r="D151">
            <v>534</v>
          </cell>
          <cell r="E151" t="str">
            <v>INSERT INTO  INPUT.FLAT ([REG_ID],[VAR],[YEAR],[VALUE])  Values ( 'JPG26','VEH_THEFT','2008','534')</v>
          </cell>
        </row>
        <row r="152">
          <cell r="A152" t="str">
            <v>JPG27</v>
          </cell>
          <cell r="B152" t="str">
            <v>VEH_THEFT</v>
          </cell>
          <cell r="C152">
            <v>2008</v>
          </cell>
          <cell r="D152">
            <v>3480</v>
          </cell>
          <cell r="E152" t="str">
            <v>INSERT INTO  INPUT.FLAT ([REG_ID],[VAR],[YEAR],[VALUE])  Values ( 'JPG27','VEH_THEFT','2008','3480')</v>
          </cell>
        </row>
        <row r="153">
          <cell r="A153" t="str">
            <v>JPG28</v>
          </cell>
          <cell r="B153" t="str">
            <v>VEH_THEFT</v>
          </cell>
          <cell r="C153">
            <v>2008</v>
          </cell>
          <cell r="D153">
            <v>1925</v>
          </cell>
          <cell r="E153" t="str">
            <v>INSERT INTO  INPUT.FLAT ([REG_ID],[VAR],[YEAR],[VALUE])  Values ( 'JPG28','VEH_THEFT','2008','1925')</v>
          </cell>
        </row>
        <row r="154">
          <cell r="A154" t="str">
            <v>JPG29</v>
          </cell>
          <cell r="B154" t="str">
            <v>VEH_THEFT</v>
          </cell>
          <cell r="C154">
            <v>2008</v>
          </cell>
          <cell r="D154">
            <v>251</v>
          </cell>
          <cell r="E154" t="str">
            <v>INSERT INTO  INPUT.FLAT ([REG_ID],[VAR],[YEAR],[VALUE])  Values ( 'JPG29','VEH_THEFT','2008','251')</v>
          </cell>
        </row>
        <row r="155">
          <cell r="A155" t="str">
            <v>JPG30</v>
          </cell>
          <cell r="B155" t="str">
            <v>VEH_THEFT</v>
          </cell>
          <cell r="C155">
            <v>2008</v>
          </cell>
          <cell r="D155">
            <v>149</v>
          </cell>
          <cell r="E155" t="str">
            <v>INSERT INTO  INPUT.FLAT ([REG_ID],[VAR],[YEAR],[VALUE])  Values ( 'JPG30','VEH_THEFT','2008','149')</v>
          </cell>
        </row>
        <row r="156">
          <cell r="A156" t="str">
            <v>JPH</v>
          </cell>
          <cell r="B156" t="str">
            <v>VEH_THEFT</v>
          </cell>
          <cell r="C156">
            <v>2008</v>
          </cell>
          <cell r="D156">
            <v>451</v>
          </cell>
          <cell r="E156" t="str">
            <v>INSERT INTO  INPUT.FLAT ([REG_ID],[VAR],[YEAR],[VALUE])  Values ( 'JPH','VEH_THEFT','2008','451')</v>
          </cell>
        </row>
        <row r="157">
          <cell r="A157" t="str">
            <v>JPH31</v>
          </cell>
          <cell r="B157" t="str">
            <v>VEH_THEFT</v>
          </cell>
          <cell r="C157">
            <v>2008</v>
          </cell>
          <cell r="D157">
            <v>20</v>
          </cell>
          <cell r="E157" t="str">
            <v>INSERT INTO  INPUT.FLAT ([REG_ID],[VAR],[YEAR],[VALUE])  Values ( 'JPH31','VEH_THEFT','2008','20')</v>
          </cell>
        </row>
        <row r="158">
          <cell r="A158" t="str">
            <v>JPH32</v>
          </cell>
          <cell r="B158" t="str">
            <v>VEH_THEFT</v>
          </cell>
          <cell r="C158">
            <v>2008</v>
          </cell>
          <cell r="D158">
            <v>15</v>
          </cell>
          <cell r="E158" t="str">
            <v>INSERT INTO  INPUT.FLAT ([REG_ID],[VAR],[YEAR],[VALUE])  Values ( 'JPH32','VEH_THEFT','2008','15')</v>
          </cell>
        </row>
        <row r="159">
          <cell r="A159" t="str">
            <v>JPH33</v>
          </cell>
          <cell r="B159" t="str">
            <v>VEH_THEFT</v>
          </cell>
          <cell r="C159">
            <v>2008</v>
          </cell>
          <cell r="D159">
            <v>226</v>
          </cell>
          <cell r="E159" t="str">
            <v>INSERT INTO  INPUT.FLAT ([REG_ID],[VAR],[YEAR],[VALUE])  Values ( 'JPH33','VEH_THEFT','2008','226')</v>
          </cell>
        </row>
        <row r="160">
          <cell r="A160" t="str">
            <v>JPH34</v>
          </cell>
          <cell r="B160" t="str">
            <v>VEH_THEFT</v>
          </cell>
          <cell r="C160">
            <v>2008</v>
          </cell>
          <cell r="D160">
            <v>137</v>
          </cell>
          <cell r="E160" t="str">
            <v>INSERT INTO  INPUT.FLAT ([REG_ID],[VAR],[YEAR],[VALUE])  Values ( 'JPH34','VEH_THEFT','2008','137')</v>
          </cell>
        </row>
        <row r="161">
          <cell r="A161" t="str">
            <v>JPH35</v>
          </cell>
          <cell r="B161" t="str">
            <v>VEH_THEFT</v>
          </cell>
          <cell r="C161">
            <v>2008</v>
          </cell>
          <cell r="D161">
            <v>53</v>
          </cell>
          <cell r="E161" t="str">
            <v>INSERT INTO  INPUT.FLAT ([REG_ID],[VAR],[YEAR],[VALUE])  Values ( 'JPH35','VEH_THEFT','2008','53')</v>
          </cell>
        </row>
        <row r="162">
          <cell r="A162" t="str">
            <v>JPI</v>
          </cell>
          <cell r="B162" t="str">
            <v>VEH_THEFT</v>
          </cell>
          <cell r="C162">
            <v>2008</v>
          </cell>
          <cell r="D162">
            <v>298</v>
          </cell>
          <cell r="E162" t="str">
            <v>INSERT INTO  INPUT.FLAT ([REG_ID],[VAR],[YEAR],[VALUE])  Values ( 'JPI','VEH_THEFT','2008','298')</v>
          </cell>
        </row>
        <row r="163">
          <cell r="A163" t="str">
            <v>JPI36</v>
          </cell>
          <cell r="B163" t="str">
            <v>VEH_THEFT</v>
          </cell>
          <cell r="C163">
            <v>2008</v>
          </cell>
          <cell r="D163">
            <v>50</v>
          </cell>
          <cell r="E163" t="str">
            <v>INSERT INTO  INPUT.FLAT ([REG_ID],[VAR],[YEAR],[VALUE])  Values ( 'JPI36','VEH_THEFT','2008','50')</v>
          </cell>
        </row>
        <row r="164">
          <cell r="A164" t="str">
            <v>JPI37</v>
          </cell>
          <cell r="B164" t="str">
            <v>VEH_THEFT</v>
          </cell>
          <cell r="C164">
            <v>2008</v>
          </cell>
          <cell r="D164">
            <v>82</v>
          </cell>
          <cell r="E164" t="str">
            <v>INSERT INTO  INPUT.FLAT ([REG_ID],[VAR],[YEAR],[VALUE])  Values ( 'JPI37','VEH_THEFT','2008','82')</v>
          </cell>
        </row>
        <row r="165">
          <cell r="A165" t="str">
            <v>JPI38</v>
          </cell>
          <cell r="B165" t="str">
            <v>VEH_THEFT</v>
          </cell>
          <cell r="C165">
            <v>2008</v>
          </cell>
          <cell r="D165">
            <v>120</v>
          </cell>
          <cell r="E165" t="str">
            <v>INSERT INTO  INPUT.FLAT ([REG_ID],[VAR],[YEAR],[VALUE])  Values ( 'JPI38','VEH_THEFT','2008','120')</v>
          </cell>
        </row>
        <row r="166">
          <cell r="A166" t="str">
            <v>JPI39</v>
          </cell>
          <cell r="B166" t="str">
            <v>VEH_THEFT</v>
          </cell>
          <cell r="C166">
            <v>2008</v>
          </cell>
          <cell r="D166">
            <v>46</v>
          </cell>
          <cell r="E166" t="str">
            <v>INSERT INTO  INPUT.FLAT ([REG_ID],[VAR],[YEAR],[VALUE])  Values ( 'JPI39','VEH_THEFT','2008','46')</v>
          </cell>
        </row>
        <row r="167">
          <cell r="A167" t="str">
            <v>JPJ</v>
          </cell>
          <cell r="B167" t="str">
            <v>VEH_THEFT</v>
          </cell>
          <cell r="C167">
            <v>2008</v>
          </cell>
          <cell r="D167">
            <v>2035</v>
          </cell>
          <cell r="E167" t="str">
            <v>INSERT INTO  INPUT.FLAT ([REG_ID],[VAR],[YEAR],[VALUE])  Values ( 'JPJ','VEH_THEFT','2008','2035')</v>
          </cell>
        </row>
        <row r="168">
          <cell r="A168" t="str">
            <v>JPJ40</v>
          </cell>
          <cell r="B168" t="str">
            <v>VEH_THEFT</v>
          </cell>
          <cell r="C168">
            <v>2008</v>
          </cell>
          <cell r="D168">
            <v>1400</v>
          </cell>
          <cell r="E168" t="str">
            <v>INSERT INTO  INPUT.FLAT ([REG_ID],[VAR],[YEAR],[VALUE])  Values ( 'JPJ40','VEH_THEFT','2008','1400')</v>
          </cell>
        </row>
        <row r="169">
          <cell r="A169" t="str">
            <v>JPJ41</v>
          </cell>
          <cell r="B169" t="str">
            <v>VEH_THEFT</v>
          </cell>
          <cell r="C169">
            <v>2008</v>
          </cell>
          <cell r="D169">
            <v>73</v>
          </cell>
          <cell r="E169" t="str">
            <v>INSERT INTO  INPUT.FLAT ([REG_ID],[VAR],[YEAR],[VALUE])  Values ( 'JPJ41','VEH_THEFT','2008','73')</v>
          </cell>
        </row>
        <row r="170">
          <cell r="A170" t="str">
            <v>JPJ42</v>
          </cell>
          <cell r="B170" t="str">
            <v>VEH_THEFT</v>
          </cell>
          <cell r="C170">
            <v>2008</v>
          </cell>
          <cell r="D170">
            <v>60</v>
          </cell>
          <cell r="E170" t="str">
            <v>INSERT INTO  INPUT.FLAT ([REG_ID],[VAR],[YEAR],[VALUE])  Values ( 'JPJ42','VEH_THEFT','2008','60')</v>
          </cell>
        </row>
        <row r="171">
          <cell r="A171" t="str">
            <v>JPJ43</v>
          </cell>
          <cell r="B171" t="str">
            <v>VEH_THEFT</v>
          </cell>
          <cell r="C171">
            <v>2008</v>
          </cell>
          <cell r="D171">
            <v>110</v>
          </cell>
          <cell r="E171" t="str">
            <v>INSERT INTO  INPUT.FLAT ([REG_ID],[VAR],[YEAR],[VALUE])  Values ( 'JPJ43','VEH_THEFT','2008','110')</v>
          </cell>
        </row>
        <row r="172">
          <cell r="A172" t="str">
            <v>JPJ44</v>
          </cell>
          <cell r="B172" t="str">
            <v>VEH_THEFT</v>
          </cell>
          <cell r="C172">
            <v>2008</v>
          </cell>
          <cell r="D172">
            <v>66</v>
          </cell>
          <cell r="E172" t="str">
            <v>INSERT INTO  INPUT.FLAT ([REG_ID],[VAR],[YEAR],[VALUE])  Values ( 'JPJ44','VEH_THEFT','2008','66')</v>
          </cell>
        </row>
        <row r="173">
          <cell r="A173" t="str">
            <v>JPJ45</v>
          </cell>
          <cell r="B173" t="str">
            <v>VEH_THEFT</v>
          </cell>
          <cell r="C173">
            <v>2008</v>
          </cell>
          <cell r="D173">
            <v>55</v>
          </cell>
          <cell r="E173" t="str">
            <v>INSERT INTO  INPUT.FLAT ([REG_ID],[VAR],[YEAR],[VALUE])  Values ( 'JPJ45','VEH_THEFT','2008','55')</v>
          </cell>
        </row>
        <row r="174">
          <cell r="A174" t="str">
            <v>JPJ46</v>
          </cell>
          <cell r="B174" t="str">
            <v>VEH_THEFT</v>
          </cell>
          <cell r="C174">
            <v>2008</v>
          </cell>
          <cell r="D174">
            <v>123</v>
          </cell>
          <cell r="E174" t="str">
            <v>INSERT INTO  INPUT.FLAT ([REG_ID],[VAR],[YEAR],[VALUE])  Values ( 'JPJ46','VEH_THEFT','2008','123')</v>
          </cell>
        </row>
        <row r="175">
          <cell r="A175" t="str">
            <v>JPJ47</v>
          </cell>
          <cell r="B175" t="str">
            <v>VEH_THEFT</v>
          </cell>
          <cell r="C175">
            <v>2008</v>
          </cell>
          <cell r="D175">
            <v>148</v>
          </cell>
          <cell r="E175" t="str">
            <v>INSERT INTO  INPUT.FLAT ([REG_ID],[VAR],[YEAR],[VALUE])  Values ( 'JPJ47','VEH_THEFT','2008','148')</v>
          </cell>
        </row>
        <row r="176">
          <cell r="A176" t="str">
            <v>JPN</v>
          </cell>
          <cell r="B176" t="str">
            <v>VEH_THEFT</v>
          </cell>
          <cell r="C176">
            <v>2007</v>
          </cell>
          <cell r="D176">
            <v>31790</v>
          </cell>
          <cell r="E176" t="str">
            <v>INSERT INTO  INPUT.FLAT ([REG_ID],[VAR],[YEAR],[VALUE])  Values ( 'JPN','VEH_THEFT','2007','31790')</v>
          </cell>
        </row>
        <row r="177">
          <cell r="A177" t="str">
            <v>JPA</v>
          </cell>
          <cell r="B177" t="str">
            <v>VEH_THEFT</v>
          </cell>
          <cell r="C177">
            <v>2007</v>
          </cell>
          <cell r="D177">
            <v>767</v>
          </cell>
          <cell r="E177" t="str">
            <v>INSERT INTO  INPUT.FLAT ([REG_ID],[VAR],[YEAR],[VALUE])  Values ( 'JPA','VEH_THEFT','2007','767')</v>
          </cell>
        </row>
        <row r="178">
          <cell r="A178" t="str">
            <v>JPA01</v>
          </cell>
          <cell r="B178" t="str">
            <v>VEH_THEFT</v>
          </cell>
          <cell r="C178">
            <v>2007</v>
          </cell>
          <cell r="D178">
            <v>767</v>
          </cell>
          <cell r="E178" t="str">
            <v>INSERT INTO  INPUT.FLAT ([REG_ID],[VAR],[YEAR],[VALUE])  Values ( 'JPA01','VEH_THEFT','2007','767')</v>
          </cell>
        </row>
        <row r="179">
          <cell r="A179" t="str">
            <v>JPB</v>
          </cell>
          <cell r="B179" t="str">
            <v>VEH_THEFT</v>
          </cell>
          <cell r="C179">
            <v>2007</v>
          </cell>
          <cell r="D179">
            <v>638</v>
          </cell>
          <cell r="E179" t="str">
            <v>INSERT INTO  INPUT.FLAT ([REG_ID],[VAR],[YEAR],[VALUE])  Values ( 'JPB','VEH_THEFT','2007','638')</v>
          </cell>
        </row>
        <row r="180">
          <cell r="A180" t="str">
            <v>JPB02</v>
          </cell>
          <cell r="B180" t="str">
            <v>VEH_THEFT</v>
          </cell>
          <cell r="C180">
            <v>2007</v>
          </cell>
          <cell r="D180">
            <v>75</v>
          </cell>
          <cell r="E180" t="str">
            <v>INSERT INTO  INPUT.FLAT ([REG_ID],[VAR],[YEAR],[VALUE])  Values ( 'JPB02','VEH_THEFT','2007','75')</v>
          </cell>
        </row>
        <row r="181">
          <cell r="A181" t="str">
            <v>JPB03</v>
          </cell>
          <cell r="B181" t="str">
            <v>VEH_THEFT</v>
          </cell>
          <cell r="C181">
            <v>2007</v>
          </cell>
          <cell r="D181">
            <v>37</v>
          </cell>
          <cell r="E181" t="str">
            <v>INSERT INTO  INPUT.FLAT ([REG_ID],[VAR],[YEAR],[VALUE])  Values ( 'JPB03','VEH_THEFT','2007','37')</v>
          </cell>
        </row>
        <row r="182">
          <cell r="A182" t="str">
            <v>JPB04</v>
          </cell>
          <cell r="B182" t="str">
            <v>VEH_THEFT</v>
          </cell>
          <cell r="C182">
            <v>2007</v>
          </cell>
          <cell r="D182">
            <v>279</v>
          </cell>
          <cell r="E182" t="str">
            <v>INSERT INTO  INPUT.FLAT ([REG_ID],[VAR],[YEAR],[VALUE])  Values ( 'JPB04','VEH_THEFT','2007','279')</v>
          </cell>
        </row>
        <row r="183">
          <cell r="A183" t="str">
            <v>JPB05</v>
          </cell>
          <cell r="B183" t="str">
            <v>VEH_THEFT</v>
          </cell>
          <cell r="C183">
            <v>2007</v>
          </cell>
          <cell r="D183">
            <v>27</v>
          </cell>
          <cell r="E183" t="str">
            <v>INSERT INTO  INPUT.FLAT ([REG_ID],[VAR],[YEAR],[VALUE])  Values ( 'JPB05','VEH_THEFT','2007','27')</v>
          </cell>
        </row>
        <row r="184">
          <cell r="A184" t="str">
            <v>JPB06</v>
          </cell>
          <cell r="B184" t="str">
            <v>VEH_THEFT</v>
          </cell>
          <cell r="C184">
            <v>2007</v>
          </cell>
          <cell r="D184">
            <v>40</v>
          </cell>
          <cell r="E184" t="str">
            <v>INSERT INTO  INPUT.FLAT ([REG_ID],[VAR],[YEAR],[VALUE])  Values ( 'JPB06','VEH_THEFT','2007','40')</v>
          </cell>
        </row>
        <row r="185">
          <cell r="A185" t="str">
            <v>JPB07</v>
          </cell>
          <cell r="B185" t="str">
            <v>VEH_THEFT</v>
          </cell>
          <cell r="C185">
            <v>2007</v>
          </cell>
          <cell r="D185">
            <v>180</v>
          </cell>
          <cell r="E185" t="str">
            <v>INSERT INTO  INPUT.FLAT ([REG_ID],[VAR],[YEAR],[VALUE])  Values ( 'JPB07','VEH_THEFT','2007','180')</v>
          </cell>
        </row>
        <row r="186">
          <cell r="A186" t="str">
            <v>JPC</v>
          </cell>
          <cell r="B186" t="str">
            <v>VEH_THEFT</v>
          </cell>
          <cell r="C186">
            <v>2007</v>
          </cell>
          <cell r="D186">
            <v>3984</v>
          </cell>
          <cell r="E186" t="str">
            <v>INSERT INTO  INPUT.FLAT ([REG_ID],[VAR],[YEAR],[VALUE])  Values ( 'JPC','VEH_THEFT','2007','3984')</v>
          </cell>
        </row>
        <row r="187">
          <cell r="A187" t="str">
            <v>JPC19</v>
          </cell>
          <cell r="B187" t="str">
            <v>VEH_THEFT</v>
          </cell>
          <cell r="C187">
            <v>2007</v>
          </cell>
          <cell r="D187">
            <v>104</v>
          </cell>
          <cell r="E187" t="str">
            <v>INSERT INTO  INPUT.FLAT ([REG_ID],[VAR],[YEAR],[VALUE])  Values ( 'JPC19','VEH_THEFT','2007','104')</v>
          </cell>
        </row>
        <row r="188">
          <cell r="A188" t="str">
            <v>JPC20</v>
          </cell>
          <cell r="B188" t="str">
            <v>VEH_THEFT</v>
          </cell>
          <cell r="C188">
            <v>2007</v>
          </cell>
          <cell r="D188">
            <v>214</v>
          </cell>
          <cell r="E188" t="str">
            <v>INSERT INTO  INPUT.FLAT ([REG_ID],[VAR],[YEAR],[VALUE])  Values ( 'JPC20','VEH_THEFT','2007','214')</v>
          </cell>
        </row>
        <row r="189">
          <cell r="A189" t="str">
            <v>JPC08</v>
          </cell>
          <cell r="B189" t="str">
            <v>VEH_THEFT</v>
          </cell>
          <cell r="C189">
            <v>2007</v>
          </cell>
          <cell r="D189">
            <v>2155</v>
          </cell>
          <cell r="E189" t="str">
            <v>INSERT INTO  INPUT.FLAT ([REG_ID],[VAR],[YEAR],[VALUE])  Values ( 'JPC08','VEH_THEFT','2007','2155')</v>
          </cell>
        </row>
        <row r="190">
          <cell r="A190" t="str">
            <v>JPC09</v>
          </cell>
          <cell r="B190" t="str">
            <v>VEH_THEFT</v>
          </cell>
          <cell r="C190">
            <v>2007</v>
          </cell>
          <cell r="D190">
            <v>807</v>
          </cell>
          <cell r="E190" t="str">
            <v>INSERT INTO  INPUT.FLAT ([REG_ID],[VAR],[YEAR],[VALUE])  Values ( 'JPC09','VEH_THEFT','2007','807')</v>
          </cell>
        </row>
        <row r="191">
          <cell r="A191" t="str">
            <v>JPC10</v>
          </cell>
          <cell r="B191" t="str">
            <v>VEH_THEFT</v>
          </cell>
          <cell r="C191">
            <v>2007</v>
          </cell>
          <cell r="D191">
            <v>704</v>
          </cell>
          <cell r="E191" t="str">
            <v>INSERT INTO  INPUT.FLAT ([REG_ID],[VAR],[YEAR],[VALUE])  Values ( 'JPC10','VEH_THEFT','2007','704')</v>
          </cell>
        </row>
        <row r="192">
          <cell r="A192" t="str">
            <v>JPD</v>
          </cell>
          <cell r="B192" t="str">
            <v>VEH_THEFT</v>
          </cell>
          <cell r="C192">
            <v>2007</v>
          </cell>
          <cell r="D192">
            <v>10702</v>
          </cell>
          <cell r="E192" t="str">
            <v>INSERT INTO  INPUT.FLAT ([REG_ID],[VAR],[YEAR],[VALUE])  Values ( 'JPD','VEH_THEFT','2007','10702')</v>
          </cell>
        </row>
        <row r="193">
          <cell r="A193" t="str">
            <v>JPD11</v>
          </cell>
          <cell r="B193" t="str">
            <v>VEH_THEFT</v>
          </cell>
          <cell r="C193">
            <v>2007</v>
          </cell>
          <cell r="D193">
            <v>2634</v>
          </cell>
          <cell r="E193" t="str">
            <v>INSERT INTO  INPUT.FLAT ([REG_ID],[VAR],[YEAR],[VALUE])  Values ( 'JPD11','VEH_THEFT','2007','2634')</v>
          </cell>
        </row>
        <row r="194">
          <cell r="A194" t="str">
            <v>JPD12</v>
          </cell>
          <cell r="B194" t="str">
            <v>VEH_THEFT</v>
          </cell>
          <cell r="C194">
            <v>2007</v>
          </cell>
          <cell r="D194">
            <v>4060</v>
          </cell>
          <cell r="E194" t="str">
            <v>INSERT INTO  INPUT.FLAT ([REG_ID],[VAR],[YEAR],[VALUE])  Values ( 'JPD12','VEH_THEFT','2007','4060')</v>
          </cell>
        </row>
        <row r="195">
          <cell r="A195" t="str">
            <v>JPD13</v>
          </cell>
          <cell r="B195" t="str">
            <v>VEH_THEFT</v>
          </cell>
          <cell r="C195">
            <v>2007</v>
          </cell>
          <cell r="D195">
            <v>1054</v>
          </cell>
          <cell r="E195" t="str">
            <v>INSERT INTO  INPUT.FLAT ([REG_ID],[VAR],[YEAR],[VALUE])  Values ( 'JPD13','VEH_THEFT','2007','1054')</v>
          </cell>
        </row>
        <row r="196">
          <cell r="A196" t="str">
            <v>JPD14</v>
          </cell>
          <cell r="B196" t="str">
            <v>VEH_THEFT</v>
          </cell>
          <cell r="C196">
            <v>2007</v>
          </cell>
          <cell r="D196">
            <v>2954</v>
          </cell>
          <cell r="E196" t="str">
            <v>INSERT INTO  INPUT.FLAT ([REG_ID],[VAR],[YEAR],[VALUE])  Values ( 'JPD14','VEH_THEFT','2007','2954')</v>
          </cell>
        </row>
        <row r="197">
          <cell r="A197" t="str">
            <v>JPE</v>
          </cell>
          <cell r="B197" t="str">
            <v>VEH_THEFT</v>
          </cell>
          <cell r="C197">
            <v>2007</v>
          </cell>
          <cell r="D197">
            <v>449</v>
          </cell>
          <cell r="E197" t="str">
            <v>INSERT INTO  INPUT.FLAT ([REG_ID],[VAR],[YEAR],[VALUE])  Values ( 'JPE','VEH_THEFT','2007','449')</v>
          </cell>
        </row>
        <row r="198">
          <cell r="A198" t="str">
            <v>JPE15</v>
          </cell>
          <cell r="B198" t="str">
            <v>VEH_THEFT</v>
          </cell>
          <cell r="C198">
            <v>2007</v>
          </cell>
          <cell r="D198">
            <v>169</v>
          </cell>
          <cell r="E198" t="str">
            <v>INSERT INTO  INPUT.FLAT ([REG_ID],[VAR],[YEAR],[VALUE])  Values ( 'JPE15','VEH_THEFT','2007','169')</v>
          </cell>
        </row>
        <row r="199">
          <cell r="A199" t="str">
            <v>JPE16</v>
          </cell>
          <cell r="B199" t="str">
            <v>VEH_THEFT</v>
          </cell>
          <cell r="C199">
            <v>2007</v>
          </cell>
          <cell r="D199">
            <v>86</v>
          </cell>
          <cell r="E199" t="str">
            <v>INSERT INTO  INPUT.FLAT ([REG_ID],[VAR],[YEAR],[VALUE])  Values ( 'JPE16','VEH_THEFT','2007','86')</v>
          </cell>
        </row>
        <row r="200">
          <cell r="A200" t="str">
            <v>JPE17</v>
          </cell>
          <cell r="B200" t="str">
            <v>VEH_THEFT</v>
          </cell>
          <cell r="C200">
            <v>2007</v>
          </cell>
          <cell r="D200">
            <v>73</v>
          </cell>
          <cell r="E200" t="str">
            <v>INSERT INTO  INPUT.FLAT ([REG_ID],[VAR],[YEAR],[VALUE])  Values ( 'JPE17','VEH_THEFT','2007','73')</v>
          </cell>
        </row>
        <row r="201">
          <cell r="A201" t="str">
            <v>JPE18</v>
          </cell>
          <cell r="B201" t="str">
            <v>VEH_THEFT</v>
          </cell>
          <cell r="C201">
            <v>2007</v>
          </cell>
          <cell r="D201">
            <v>121</v>
          </cell>
          <cell r="E201" t="str">
            <v>INSERT INTO  INPUT.FLAT ([REG_ID],[VAR],[YEAR],[VALUE])  Values ( 'JPE18','VEH_THEFT','2007','121')</v>
          </cell>
        </row>
        <row r="202">
          <cell r="A202" t="str">
            <v>JPF</v>
          </cell>
          <cell r="B202" t="str">
            <v>VEH_THEFT</v>
          </cell>
          <cell r="C202">
            <v>2007</v>
          </cell>
          <cell r="D202">
            <v>4310</v>
          </cell>
          <cell r="E202" t="str">
            <v>INSERT INTO  INPUT.FLAT ([REG_ID],[VAR],[YEAR],[VALUE])  Values ( 'JPF','VEH_THEFT','2007','4310')</v>
          </cell>
        </row>
        <row r="203">
          <cell r="A203" t="str">
            <v>JPF21</v>
          </cell>
          <cell r="B203" t="str">
            <v>VEH_THEFT</v>
          </cell>
          <cell r="C203">
            <v>2007</v>
          </cell>
          <cell r="D203">
            <v>395</v>
          </cell>
          <cell r="E203" t="str">
            <v>INSERT INTO  INPUT.FLAT ([REG_ID],[VAR],[YEAR],[VALUE])  Values ( 'JPF21','VEH_THEFT','2007','395')</v>
          </cell>
        </row>
        <row r="204">
          <cell r="A204" t="str">
            <v>JPF22</v>
          </cell>
          <cell r="B204" t="str">
            <v>VEH_THEFT</v>
          </cell>
          <cell r="C204">
            <v>2007</v>
          </cell>
          <cell r="D204">
            <v>453</v>
          </cell>
          <cell r="E204" t="str">
            <v>INSERT INTO  INPUT.FLAT ([REG_ID],[VAR],[YEAR],[VALUE])  Values ( 'JPF22','VEH_THEFT','2007','453')</v>
          </cell>
        </row>
        <row r="205">
          <cell r="A205" t="str">
            <v>JPF23</v>
          </cell>
          <cell r="B205" t="str">
            <v>VEH_THEFT</v>
          </cell>
          <cell r="C205">
            <v>2007</v>
          </cell>
          <cell r="D205">
            <v>3053</v>
          </cell>
          <cell r="E205" t="str">
            <v>INSERT INTO  INPUT.FLAT ([REG_ID],[VAR],[YEAR],[VALUE])  Values ( 'JPF23','VEH_THEFT','2007','3053')</v>
          </cell>
        </row>
        <row r="206">
          <cell r="A206" t="str">
            <v>JPF24</v>
          </cell>
          <cell r="B206" t="str">
            <v>VEH_THEFT</v>
          </cell>
          <cell r="C206">
            <v>2007</v>
          </cell>
          <cell r="D206">
            <v>409</v>
          </cell>
          <cell r="E206" t="str">
            <v>INSERT INTO  INPUT.FLAT ([REG_ID],[VAR],[YEAR],[VALUE])  Values ( 'JPF24','VEH_THEFT','2007','409')</v>
          </cell>
        </row>
        <row r="207">
          <cell r="A207" t="str">
            <v>JPG</v>
          </cell>
          <cell r="B207" t="str">
            <v>VEH_THEFT</v>
          </cell>
          <cell r="C207">
            <v>2007</v>
          </cell>
          <cell r="D207">
            <v>7589</v>
          </cell>
          <cell r="E207" t="str">
            <v>INSERT INTO  INPUT.FLAT ([REG_ID],[VAR],[YEAR],[VALUE])  Values ( 'JPG','VEH_THEFT','2007','7589')</v>
          </cell>
        </row>
        <row r="208">
          <cell r="A208" t="str">
            <v>JPG25</v>
          </cell>
          <cell r="B208" t="str">
            <v>VEH_THEFT</v>
          </cell>
          <cell r="C208">
            <v>2007</v>
          </cell>
          <cell r="D208">
            <v>263</v>
          </cell>
          <cell r="E208" t="str">
            <v>INSERT INTO  INPUT.FLAT ([REG_ID],[VAR],[YEAR],[VALUE])  Values ( 'JPG25','VEH_THEFT','2007','263')</v>
          </cell>
        </row>
        <row r="209">
          <cell r="A209" t="str">
            <v>JPG26</v>
          </cell>
          <cell r="B209" t="str">
            <v>VEH_THEFT</v>
          </cell>
          <cell r="C209">
            <v>2007</v>
          </cell>
          <cell r="D209">
            <v>672</v>
          </cell>
          <cell r="E209" t="str">
            <v>INSERT INTO  INPUT.FLAT ([REG_ID],[VAR],[YEAR],[VALUE])  Values ( 'JPG26','VEH_THEFT','2007','672')</v>
          </cell>
        </row>
        <row r="210">
          <cell r="A210" t="str">
            <v>JPG27</v>
          </cell>
          <cell r="B210" t="str">
            <v>VEH_THEFT</v>
          </cell>
          <cell r="C210">
            <v>2007</v>
          </cell>
          <cell r="D210">
            <v>4318</v>
          </cell>
          <cell r="E210" t="str">
            <v>INSERT INTO  INPUT.FLAT ([REG_ID],[VAR],[YEAR],[VALUE])  Values ( 'JPG27','VEH_THEFT','2007','4318')</v>
          </cell>
        </row>
        <row r="211">
          <cell r="A211" t="str">
            <v>JPG28</v>
          </cell>
          <cell r="B211" t="str">
            <v>VEH_THEFT</v>
          </cell>
          <cell r="C211">
            <v>2007</v>
          </cell>
          <cell r="D211">
            <v>1969</v>
          </cell>
          <cell r="E211" t="str">
            <v>INSERT INTO  INPUT.FLAT ([REG_ID],[VAR],[YEAR],[VALUE])  Values ( 'JPG28','VEH_THEFT','2007','1969')</v>
          </cell>
        </row>
        <row r="212">
          <cell r="A212" t="str">
            <v>JPG29</v>
          </cell>
          <cell r="B212" t="str">
            <v>VEH_THEFT</v>
          </cell>
          <cell r="C212">
            <v>2007</v>
          </cell>
          <cell r="D212">
            <v>237</v>
          </cell>
          <cell r="E212" t="str">
            <v>INSERT INTO  INPUT.FLAT ([REG_ID],[VAR],[YEAR],[VALUE])  Values ( 'JPG29','VEH_THEFT','2007','237')</v>
          </cell>
        </row>
        <row r="213">
          <cell r="A213" t="str">
            <v>JPG30</v>
          </cell>
          <cell r="B213" t="str">
            <v>VEH_THEFT</v>
          </cell>
          <cell r="C213">
            <v>2007</v>
          </cell>
          <cell r="D213">
            <v>130</v>
          </cell>
          <cell r="E213" t="str">
            <v>INSERT INTO  INPUT.FLAT ([REG_ID],[VAR],[YEAR],[VALUE])  Values ( 'JPG30','VEH_THEFT','2007','130')</v>
          </cell>
        </row>
        <row r="214">
          <cell r="A214" t="str">
            <v>JPH</v>
          </cell>
          <cell r="B214" t="str">
            <v>VEH_THEFT</v>
          </cell>
          <cell r="C214">
            <v>2007</v>
          </cell>
          <cell r="D214">
            <v>616</v>
          </cell>
          <cell r="E214" t="str">
            <v>INSERT INTO  INPUT.FLAT ([REG_ID],[VAR],[YEAR],[VALUE])  Values ( 'JPH','VEH_THEFT','2007','616')</v>
          </cell>
        </row>
        <row r="215">
          <cell r="A215" t="str">
            <v>JPH31</v>
          </cell>
          <cell r="B215" t="str">
            <v>VEH_THEFT</v>
          </cell>
          <cell r="C215">
            <v>2007</v>
          </cell>
          <cell r="D215">
            <v>51</v>
          </cell>
          <cell r="E215" t="str">
            <v>INSERT INTO  INPUT.FLAT ([REG_ID],[VAR],[YEAR],[VALUE])  Values ( 'JPH31','VEH_THEFT','2007','51')</v>
          </cell>
        </row>
        <row r="216">
          <cell r="A216" t="str">
            <v>JPH32</v>
          </cell>
          <cell r="B216" t="str">
            <v>VEH_THEFT</v>
          </cell>
          <cell r="C216">
            <v>2007</v>
          </cell>
          <cell r="D216">
            <v>44</v>
          </cell>
          <cell r="E216" t="str">
            <v>INSERT INTO  INPUT.FLAT ([REG_ID],[VAR],[YEAR],[VALUE])  Values ( 'JPH32','VEH_THEFT','2007','44')</v>
          </cell>
        </row>
        <row r="217">
          <cell r="A217" t="str">
            <v>JPH33</v>
          </cell>
          <cell r="B217" t="str">
            <v>VEH_THEFT</v>
          </cell>
          <cell r="C217">
            <v>2007</v>
          </cell>
          <cell r="D217">
            <v>278</v>
          </cell>
          <cell r="E217" t="str">
            <v>INSERT INTO  INPUT.FLAT ([REG_ID],[VAR],[YEAR],[VALUE])  Values ( 'JPH33','VEH_THEFT','2007','278')</v>
          </cell>
        </row>
        <row r="218">
          <cell r="A218" t="str">
            <v>JPH34</v>
          </cell>
          <cell r="B218" t="str">
            <v>VEH_THEFT</v>
          </cell>
          <cell r="C218">
            <v>2007</v>
          </cell>
          <cell r="D218">
            <v>166</v>
          </cell>
          <cell r="E218" t="str">
            <v>INSERT INTO  INPUT.FLAT ([REG_ID],[VAR],[YEAR],[VALUE])  Values ( 'JPH34','VEH_THEFT','2007','166')</v>
          </cell>
        </row>
        <row r="219">
          <cell r="A219" t="str">
            <v>JPH35</v>
          </cell>
          <cell r="B219" t="str">
            <v>VEH_THEFT</v>
          </cell>
          <cell r="C219">
            <v>2007</v>
          </cell>
          <cell r="D219">
            <v>77</v>
          </cell>
          <cell r="E219" t="str">
            <v>INSERT INTO  INPUT.FLAT ([REG_ID],[VAR],[YEAR],[VALUE])  Values ( 'JPH35','VEH_THEFT','2007','77')</v>
          </cell>
        </row>
        <row r="220">
          <cell r="A220" t="str">
            <v>JPI</v>
          </cell>
          <cell r="B220" t="str">
            <v>VEH_THEFT</v>
          </cell>
          <cell r="C220">
            <v>2007</v>
          </cell>
          <cell r="D220">
            <v>381</v>
          </cell>
          <cell r="E220" t="str">
            <v>INSERT INTO  INPUT.FLAT ([REG_ID],[VAR],[YEAR],[VALUE])  Values ( 'JPI','VEH_THEFT','2007','381')</v>
          </cell>
        </row>
        <row r="221">
          <cell r="A221" t="str">
            <v>JPI36</v>
          </cell>
          <cell r="B221" t="str">
            <v>VEH_THEFT</v>
          </cell>
          <cell r="C221">
            <v>2007</v>
          </cell>
          <cell r="D221">
            <v>68</v>
          </cell>
          <cell r="E221" t="str">
            <v>INSERT INTO  INPUT.FLAT ([REG_ID],[VAR],[YEAR],[VALUE])  Values ( 'JPI36','VEH_THEFT','2007','68')</v>
          </cell>
        </row>
        <row r="222">
          <cell r="A222" t="str">
            <v>JPI37</v>
          </cell>
          <cell r="B222" t="str">
            <v>VEH_THEFT</v>
          </cell>
          <cell r="C222">
            <v>2007</v>
          </cell>
          <cell r="D222">
            <v>109</v>
          </cell>
          <cell r="E222" t="str">
            <v>INSERT INTO  INPUT.FLAT ([REG_ID],[VAR],[YEAR],[VALUE])  Values ( 'JPI37','VEH_THEFT','2007','109')</v>
          </cell>
        </row>
        <row r="223">
          <cell r="A223" t="str">
            <v>JPI38</v>
          </cell>
          <cell r="B223" t="str">
            <v>VEH_THEFT</v>
          </cell>
          <cell r="C223">
            <v>2007</v>
          </cell>
          <cell r="D223">
            <v>142</v>
          </cell>
          <cell r="E223" t="str">
            <v>INSERT INTO  INPUT.FLAT ([REG_ID],[VAR],[YEAR],[VALUE])  Values ( 'JPI38','VEH_THEFT','2007','142')</v>
          </cell>
        </row>
        <row r="224">
          <cell r="A224" t="str">
            <v>JPI39</v>
          </cell>
          <cell r="B224" t="str">
            <v>VEH_THEFT</v>
          </cell>
          <cell r="C224">
            <v>2007</v>
          </cell>
          <cell r="D224">
            <v>62</v>
          </cell>
          <cell r="E224" t="str">
            <v>INSERT INTO  INPUT.FLAT ([REG_ID],[VAR],[YEAR],[VALUE])  Values ( 'JPI39','VEH_THEFT','2007','62')</v>
          </cell>
        </row>
        <row r="225">
          <cell r="A225" t="str">
            <v>JPJ</v>
          </cell>
          <cell r="B225" t="str">
            <v>VEH_THEFT</v>
          </cell>
          <cell r="C225">
            <v>2007</v>
          </cell>
          <cell r="D225">
            <v>2354</v>
          </cell>
          <cell r="E225" t="str">
            <v>INSERT INTO  INPUT.FLAT ([REG_ID],[VAR],[YEAR],[VALUE])  Values ( 'JPJ','VEH_THEFT','2007','2354')</v>
          </cell>
        </row>
        <row r="226">
          <cell r="A226" t="str">
            <v>JPJ40</v>
          </cell>
          <cell r="B226" t="str">
            <v>VEH_THEFT</v>
          </cell>
          <cell r="C226">
            <v>2007</v>
          </cell>
          <cell r="D226">
            <v>1531</v>
          </cell>
          <cell r="E226" t="str">
            <v>INSERT INTO  INPUT.FLAT ([REG_ID],[VAR],[YEAR],[VALUE])  Values ( 'JPJ40','VEH_THEFT','2007','1531')</v>
          </cell>
        </row>
        <row r="227">
          <cell r="A227" t="str">
            <v>JPJ41</v>
          </cell>
          <cell r="B227" t="str">
            <v>VEH_THEFT</v>
          </cell>
          <cell r="C227">
            <v>2007</v>
          </cell>
          <cell r="D227">
            <v>87</v>
          </cell>
          <cell r="E227" t="str">
            <v>INSERT INTO  INPUT.FLAT ([REG_ID],[VAR],[YEAR],[VALUE])  Values ( 'JPJ41','VEH_THEFT','2007','87')</v>
          </cell>
        </row>
        <row r="228">
          <cell r="A228" t="str">
            <v>JPJ42</v>
          </cell>
          <cell r="B228" t="str">
            <v>VEH_THEFT</v>
          </cell>
          <cell r="C228">
            <v>2007</v>
          </cell>
          <cell r="D228">
            <v>50</v>
          </cell>
          <cell r="E228" t="str">
            <v>INSERT INTO  INPUT.FLAT ([REG_ID],[VAR],[YEAR],[VALUE])  Values ( 'JPJ42','VEH_THEFT','2007','50')</v>
          </cell>
        </row>
        <row r="229">
          <cell r="A229" t="str">
            <v>JPJ43</v>
          </cell>
          <cell r="B229" t="str">
            <v>VEH_THEFT</v>
          </cell>
          <cell r="C229">
            <v>2007</v>
          </cell>
          <cell r="D229">
            <v>176</v>
          </cell>
          <cell r="E229" t="str">
            <v>INSERT INTO  INPUT.FLAT ([REG_ID],[VAR],[YEAR],[VALUE])  Values ( 'JPJ43','VEH_THEFT','2007','176')</v>
          </cell>
        </row>
        <row r="230">
          <cell r="A230" t="str">
            <v>JPJ44</v>
          </cell>
          <cell r="B230" t="str">
            <v>VEH_THEFT</v>
          </cell>
          <cell r="C230">
            <v>2007</v>
          </cell>
          <cell r="D230">
            <v>71</v>
          </cell>
          <cell r="E230" t="str">
            <v>INSERT INTO  INPUT.FLAT ([REG_ID],[VAR],[YEAR],[VALUE])  Values ( 'JPJ44','VEH_THEFT','2007','71')</v>
          </cell>
        </row>
        <row r="231">
          <cell r="A231" t="str">
            <v>JPJ45</v>
          </cell>
          <cell r="B231" t="str">
            <v>VEH_THEFT</v>
          </cell>
          <cell r="C231">
            <v>2007</v>
          </cell>
          <cell r="D231">
            <v>75</v>
          </cell>
          <cell r="E231" t="str">
            <v>INSERT INTO  INPUT.FLAT ([REG_ID],[VAR],[YEAR],[VALUE])  Values ( 'JPJ45','VEH_THEFT','2007','75')</v>
          </cell>
        </row>
        <row r="232">
          <cell r="A232" t="str">
            <v>JPJ46</v>
          </cell>
          <cell r="B232" t="str">
            <v>VEH_THEFT</v>
          </cell>
          <cell r="C232">
            <v>2007</v>
          </cell>
          <cell r="D232">
            <v>179</v>
          </cell>
          <cell r="E232" t="str">
            <v>INSERT INTO  INPUT.FLAT ([REG_ID],[VAR],[YEAR],[VALUE])  Values ( 'JPJ46','VEH_THEFT','2007','179')</v>
          </cell>
        </row>
        <row r="233">
          <cell r="A233" t="str">
            <v>JPJ47</v>
          </cell>
          <cell r="B233" t="str">
            <v>VEH_THEFT</v>
          </cell>
          <cell r="C233">
            <v>2007</v>
          </cell>
          <cell r="D233">
            <v>185</v>
          </cell>
          <cell r="E233" t="str">
            <v>INSERT INTO  INPUT.FLAT ([REG_ID],[VAR],[YEAR],[VALUE])  Values ( 'JPJ47','VEH_THEFT','2007','185')</v>
          </cell>
        </row>
        <row r="234">
          <cell r="A234" t="str">
            <v>JPN</v>
          </cell>
          <cell r="B234" t="str">
            <v>VEH_THEFT</v>
          </cell>
          <cell r="C234">
            <v>2006</v>
          </cell>
          <cell r="D234">
            <v>35450</v>
          </cell>
          <cell r="E234" t="str">
            <v>INSERT INTO  INPUT.FLAT ([REG_ID],[VAR],[YEAR],[VALUE])  Values ( 'JPN','VEH_THEFT','2006','35450')</v>
          </cell>
        </row>
        <row r="235">
          <cell r="A235" t="str">
            <v>JPA</v>
          </cell>
          <cell r="B235" t="str">
            <v>VEH_THEFT</v>
          </cell>
          <cell r="C235">
            <v>2006</v>
          </cell>
          <cell r="D235">
            <v>823</v>
          </cell>
          <cell r="E235" t="str">
            <v>INSERT INTO  INPUT.FLAT ([REG_ID],[VAR],[YEAR],[VALUE])  Values ( 'JPA','VEH_THEFT','2006','823')</v>
          </cell>
        </row>
        <row r="236">
          <cell r="A236" t="str">
            <v>JPA01</v>
          </cell>
          <cell r="B236" t="str">
            <v>VEH_THEFT</v>
          </cell>
          <cell r="C236">
            <v>2006</v>
          </cell>
          <cell r="D236">
            <v>823</v>
          </cell>
          <cell r="E236" t="str">
            <v>INSERT INTO  INPUT.FLAT ([REG_ID],[VAR],[YEAR],[VALUE])  Values ( 'JPA01','VEH_THEFT','2006','823')</v>
          </cell>
        </row>
        <row r="237">
          <cell r="A237" t="str">
            <v>JPB</v>
          </cell>
          <cell r="B237" t="str">
            <v>VEH_THEFT</v>
          </cell>
          <cell r="C237">
            <v>2006</v>
          </cell>
          <cell r="D237">
            <v>861</v>
          </cell>
          <cell r="E237" t="str">
            <v>INSERT INTO  INPUT.FLAT ([REG_ID],[VAR],[YEAR],[VALUE])  Values ( 'JPB','VEH_THEFT','2006','861')</v>
          </cell>
        </row>
        <row r="238">
          <cell r="A238" t="str">
            <v>JPB02</v>
          </cell>
          <cell r="B238" t="str">
            <v>VEH_THEFT</v>
          </cell>
          <cell r="C238">
            <v>2006</v>
          </cell>
          <cell r="D238">
            <v>100</v>
          </cell>
          <cell r="E238" t="str">
            <v>INSERT INTO  INPUT.FLAT ([REG_ID],[VAR],[YEAR],[VALUE])  Values ( 'JPB02','VEH_THEFT','2006','100')</v>
          </cell>
        </row>
        <row r="239">
          <cell r="A239" t="str">
            <v>JPB03</v>
          </cell>
          <cell r="B239" t="str">
            <v>VEH_THEFT</v>
          </cell>
          <cell r="C239">
            <v>2006</v>
          </cell>
          <cell r="D239">
            <v>68</v>
          </cell>
          <cell r="E239" t="str">
            <v>INSERT INTO  INPUT.FLAT ([REG_ID],[VAR],[YEAR],[VALUE])  Values ( 'JPB03','VEH_THEFT','2006','68')</v>
          </cell>
        </row>
        <row r="240">
          <cell r="A240" t="str">
            <v>JPB04</v>
          </cell>
          <cell r="B240" t="str">
            <v>VEH_THEFT</v>
          </cell>
          <cell r="C240">
            <v>2006</v>
          </cell>
          <cell r="D240">
            <v>330</v>
          </cell>
          <cell r="E240" t="str">
            <v>INSERT INTO  INPUT.FLAT ([REG_ID],[VAR],[YEAR],[VALUE])  Values ( 'JPB04','VEH_THEFT','2006','330')</v>
          </cell>
        </row>
        <row r="241">
          <cell r="A241" t="str">
            <v>JPB05</v>
          </cell>
          <cell r="B241" t="str">
            <v>VEH_THEFT</v>
          </cell>
          <cell r="C241">
            <v>2006</v>
          </cell>
          <cell r="D241">
            <v>39</v>
          </cell>
          <cell r="E241" t="str">
            <v>INSERT INTO  INPUT.FLAT ([REG_ID],[VAR],[YEAR],[VALUE])  Values ( 'JPB05','VEH_THEFT','2006','39')</v>
          </cell>
        </row>
        <row r="242">
          <cell r="A242" t="str">
            <v>JPB06</v>
          </cell>
          <cell r="B242" t="str">
            <v>VEH_THEFT</v>
          </cell>
          <cell r="C242">
            <v>2006</v>
          </cell>
          <cell r="D242">
            <v>77</v>
          </cell>
          <cell r="E242" t="str">
            <v>INSERT INTO  INPUT.FLAT ([REG_ID],[VAR],[YEAR],[VALUE])  Values ( 'JPB06','VEH_THEFT','2006','77')</v>
          </cell>
        </row>
        <row r="243">
          <cell r="A243" t="str">
            <v>JPB07</v>
          </cell>
          <cell r="B243" t="str">
            <v>VEH_THEFT</v>
          </cell>
          <cell r="C243">
            <v>2006</v>
          </cell>
          <cell r="D243">
            <v>247</v>
          </cell>
          <cell r="E243" t="str">
            <v>INSERT INTO  INPUT.FLAT ([REG_ID],[VAR],[YEAR],[VALUE])  Values ( 'JPB07','VEH_THEFT','2006','247')</v>
          </cell>
        </row>
        <row r="244">
          <cell r="A244" t="str">
            <v>JPC</v>
          </cell>
          <cell r="B244" t="str">
            <v>VEH_THEFT</v>
          </cell>
          <cell r="C244">
            <v>2006</v>
          </cell>
          <cell r="D244">
            <v>3814</v>
          </cell>
          <cell r="E244" t="str">
            <v>INSERT INTO  INPUT.FLAT ([REG_ID],[VAR],[YEAR],[VALUE])  Values ( 'JPC','VEH_THEFT','2006','3814')</v>
          </cell>
        </row>
        <row r="245">
          <cell r="A245" t="str">
            <v>JPC19</v>
          </cell>
          <cell r="B245" t="str">
            <v>VEH_THEFT</v>
          </cell>
          <cell r="C245">
            <v>2006</v>
          </cell>
          <cell r="D245">
            <v>142</v>
          </cell>
          <cell r="E245" t="str">
            <v>INSERT INTO  INPUT.FLAT ([REG_ID],[VAR],[YEAR],[VALUE])  Values ( 'JPC19','VEH_THEFT','2006','142')</v>
          </cell>
        </row>
        <row r="246">
          <cell r="A246" t="str">
            <v>JPC20</v>
          </cell>
          <cell r="B246" t="str">
            <v>VEH_THEFT</v>
          </cell>
          <cell r="C246">
            <v>2006</v>
          </cell>
          <cell r="D246">
            <v>298</v>
          </cell>
          <cell r="E246" t="str">
            <v>INSERT INTO  INPUT.FLAT ([REG_ID],[VAR],[YEAR],[VALUE])  Values ( 'JPC20','VEH_THEFT','2006','298')</v>
          </cell>
        </row>
        <row r="247">
          <cell r="A247" t="str">
            <v>JPC08</v>
          </cell>
          <cell r="B247" t="str">
            <v>VEH_THEFT</v>
          </cell>
          <cell r="C247">
            <v>2006</v>
          </cell>
          <cell r="D247">
            <v>1851</v>
          </cell>
          <cell r="E247" t="str">
            <v>INSERT INTO  INPUT.FLAT ([REG_ID],[VAR],[YEAR],[VALUE])  Values ( 'JPC08','VEH_THEFT','2006','1851')</v>
          </cell>
        </row>
        <row r="248">
          <cell r="A248" t="str">
            <v>JPC09</v>
          </cell>
          <cell r="B248" t="str">
            <v>VEH_THEFT</v>
          </cell>
          <cell r="C248">
            <v>2006</v>
          </cell>
          <cell r="D248">
            <v>819</v>
          </cell>
          <cell r="E248" t="str">
            <v>INSERT INTO  INPUT.FLAT ([REG_ID],[VAR],[YEAR],[VALUE])  Values ( 'JPC09','VEH_THEFT','2006','819')</v>
          </cell>
        </row>
        <row r="249">
          <cell r="A249" t="str">
            <v>JPC10</v>
          </cell>
          <cell r="B249" t="str">
            <v>VEH_THEFT</v>
          </cell>
          <cell r="C249">
            <v>2006</v>
          </cell>
          <cell r="D249">
            <v>704</v>
          </cell>
          <cell r="E249" t="str">
            <v>INSERT INTO  INPUT.FLAT ([REG_ID],[VAR],[YEAR],[VALUE])  Values ( 'JPC10','VEH_THEFT','2006','704')</v>
          </cell>
        </row>
        <row r="250">
          <cell r="A250" t="str">
            <v>JPD</v>
          </cell>
          <cell r="B250" t="str">
            <v>VEH_THEFT</v>
          </cell>
          <cell r="C250">
            <v>2006</v>
          </cell>
          <cell r="D250">
            <v>11931</v>
          </cell>
          <cell r="E250" t="str">
            <v>INSERT INTO  INPUT.FLAT ([REG_ID],[VAR],[YEAR],[VALUE])  Values ( 'JPD','VEH_THEFT','2006','11931')</v>
          </cell>
        </row>
        <row r="251">
          <cell r="A251" t="str">
            <v>JPD11</v>
          </cell>
          <cell r="B251" t="str">
            <v>VEH_THEFT</v>
          </cell>
          <cell r="C251">
            <v>2006</v>
          </cell>
          <cell r="D251">
            <v>3262</v>
          </cell>
          <cell r="E251" t="str">
            <v>INSERT INTO  INPUT.FLAT ([REG_ID],[VAR],[YEAR],[VALUE])  Values ( 'JPD11','VEH_THEFT','2006','3262')</v>
          </cell>
        </row>
        <row r="252">
          <cell r="A252" t="str">
            <v>JPD12</v>
          </cell>
          <cell r="B252" t="str">
            <v>VEH_THEFT</v>
          </cell>
          <cell r="C252">
            <v>2006</v>
          </cell>
          <cell r="D252">
            <v>4287</v>
          </cell>
          <cell r="E252" t="str">
            <v>INSERT INTO  INPUT.FLAT ([REG_ID],[VAR],[YEAR],[VALUE])  Values ( 'JPD12','VEH_THEFT','2006','4287')</v>
          </cell>
        </row>
        <row r="253">
          <cell r="A253" t="str">
            <v>JPD13</v>
          </cell>
          <cell r="B253" t="str">
            <v>VEH_THEFT</v>
          </cell>
          <cell r="C253">
            <v>2006</v>
          </cell>
          <cell r="D253">
            <v>1497</v>
          </cell>
          <cell r="E253" t="str">
            <v>INSERT INTO  INPUT.FLAT ([REG_ID],[VAR],[YEAR],[VALUE])  Values ( 'JPD13','VEH_THEFT','2006','1497')</v>
          </cell>
        </row>
        <row r="254">
          <cell r="A254" t="str">
            <v>JPD14</v>
          </cell>
          <cell r="B254" t="str">
            <v>VEH_THEFT</v>
          </cell>
          <cell r="C254">
            <v>2006</v>
          </cell>
          <cell r="D254">
            <v>2885</v>
          </cell>
          <cell r="E254" t="str">
            <v>INSERT INTO  INPUT.FLAT ([REG_ID],[VAR],[YEAR],[VALUE])  Values ( 'JPD14','VEH_THEFT','2006','2885')</v>
          </cell>
        </row>
        <row r="255">
          <cell r="A255" t="str">
            <v>JPE</v>
          </cell>
          <cell r="B255" t="str">
            <v>VEH_THEFT</v>
          </cell>
          <cell r="C255">
            <v>2006</v>
          </cell>
          <cell r="D255">
            <v>484</v>
          </cell>
          <cell r="E255" t="str">
            <v>INSERT INTO  INPUT.FLAT ([REG_ID],[VAR],[YEAR],[VALUE])  Values ( 'JPE','VEH_THEFT','2006','484')</v>
          </cell>
        </row>
        <row r="256">
          <cell r="A256" t="str">
            <v>JPE15</v>
          </cell>
          <cell r="B256" t="str">
            <v>VEH_THEFT</v>
          </cell>
          <cell r="C256">
            <v>2006</v>
          </cell>
          <cell r="D256">
            <v>231</v>
          </cell>
          <cell r="E256" t="str">
            <v>INSERT INTO  INPUT.FLAT ([REG_ID],[VAR],[YEAR],[VALUE])  Values ( 'JPE15','VEH_THEFT','2006','231')</v>
          </cell>
        </row>
        <row r="257">
          <cell r="A257" t="str">
            <v>JPE16</v>
          </cell>
          <cell r="B257" t="str">
            <v>VEH_THEFT</v>
          </cell>
          <cell r="C257">
            <v>2006</v>
          </cell>
          <cell r="D257">
            <v>93</v>
          </cell>
          <cell r="E257" t="str">
            <v>INSERT INTO  INPUT.FLAT ([REG_ID],[VAR],[YEAR],[VALUE])  Values ( 'JPE16','VEH_THEFT','2006','93')</v>
          </cell>
        </row>
        <row r="258">
          <cell r="A258" t="str">
            <v>JPE17</v>
          </cell>
          <cell r="B258" t="str">
            <v>VEH_THEFT</v>
          </cell>
          <cell r="C258">
            <v>2006</v>
          </cell>
          <cell r="D258">
            <v>90</v>
          </cell>
          <cell r="E258" t="str">
            <v>INSERT INTO  INPUT.FLAT ([REG_ID],[VAR],[YEAR],[VALUE])  Values ( 'JPE17','VEH_THEFT','2006','90')</v>
          </cell>
        </row>
        <row r="259">
          <cell r="A259" t="str">
            <v>JPE18</v>
          </cell>
          <cell r="B259" t="str">
            <v>VEH_THEFT</v>
          </cell>
          <cell r="C259">
            <v>2006</v>
          </cell>
          <cell r="D259">
            <v>70</v>
          </cell>
          <cell r="E259" t="str">
            <v>INSERT INTO  INPUT.FLAT ([REG_ID],[VAR],[YEAR],[VALUE])  Values ( 'JPE18','VEH_THEFT','2006','70')</v>
          </cell>
        </row>
        <row r="260">
          <cell r="A260" t="str">
            <v>JPF</v>
          </cell>
          <cell r="B260" t="str">
            <v>VEH_THEFT</v>
          </cell>
          <cell r="C260">
            <v>2006</v>
          </cell>
          <cell r="D260">
            <v>5516</v>
          </cell>
          <cell r="E260" t="str">
            <v>INSERT INTO  INPUT.FLAT ([REG_ID],[VAR],[YEAR],[VALUE])  Values ( 'JPF','VEH_THEFT','2006','5516')</v>
          </cell>
        </row>
        <row r="261">
          <cell r="A261" t="str">
            <v>JPF21</v>
          </cell>
          <cell r="B261" t="str">
            <v>VEH_THEFT</v>
          </cell>
          <cell r="C261">
            <v>2006</v>
          </cell>
          <cell r="D261">
            <v>635</v>
          </cell>
          <cell r="E261" t="str">
            <v>INSERT INTO  INPUT.FLAT ([REG_ID],[VAR],[YEAR],[VALUE])  Values ( 'JPF21','VEH_THEFT','2006','635')</v>
          </cell>
        </row>
        <row r="262">
          <cell r="A262" t="str">
            <v>JPF22</v>
          </cell>
          <cell r="B262" t="str">
            <v>VEH_THEFT</v>
          </cell>
          <cell r="C262">
            <v>2006</v>
          </cell>
          <cell r="D262">
            <v>616</v>
          </cell>
          <cell r="E262" t="str">
            <v>INSERT INTO  INPUT.FLAT ([REG_ID],[VAR],[YEAR],[VALUE])  Values ( 'JPF22','VEH_THEFT','2006','616')</v>
          </cell>
        </row>
        <row r="263">
          <cell r="A263" t="str">
            <v>JPF23</v>
          </cell>
          <cell r="B263" t="str">
            <v>VEH_THEFT</v>
          </cell>
          <cell r="C263">
            <v>2006</v>
          </cell>
          <cell r="D263">
            <v>3724</v>
          </cell>
          <cell r="E263" t="str">
            <v>INSERT INTO  INPUT.FLAT ([REG_ID],[VAR],[YEAR],[VALUE])  Values ( 'JPF23','VEH_THEFT','2006','3724')</v>
          </cell>
        </row>
        <row r="264">
          <cell r="A264" t="str">
            <v>JPF24</v>
          </cell>
          <cell r="B264" t="str">
            <v>VEH_THEFT</v>
          </cell>
          <cell r="C264">
            <v>2006</v>
          </cell>
          <cell r="D264">
            <v>541</v>
          </cell>
          <cell r="E264" t="str">
            <v>INSERT INTO  INPUT.FLAT ([REG_ID],[VAR],[YEAR],[VALUE])  Values ( 'JPF24','VEH_THEFT','2006','541')</v>
          </cell>
        </row>
        <row r="265">
          <cell r="A265" t="str">
            <v>JPG</v>
          </cell>
          <cell r="B265" t="str">
            <v>VEH_THEFT</v>
          </cell>
          <cell r="C265">
            <v>2006</v>
          </cell>
          <cell r="D265">
            <v>8449</v>
          </cell>
          <cell r="E265" t="str">
            <v>INSERT INTO  INPUT.FLAT ([REG_ID],[VAR],[YEAR],[VALUE])  Values ( 'JPG','VEH_THEFT','2006','8449')</v>
          </cell>
        </row>
        <row r="266">
          <cell r="A266" t="str">
            <v>JPG25</v>
          </cell>
          <cell r="B266" t="str">
            <v>VEH_THEFT</v>
          </cell>
          <cell r="C266">
            <v>2006</v>
          </cell>
          <cell r="D266">
            <v>278</v>
          </cell>
          <cell r="E266" t="str">
            <v>INSERT INTO  INPUT.FLAT ([REG_ID],[VAR],[YEAR],[VALUE])  Values ( 'JPG25','VEH_THEFT','2006','278')</v>
          </cell>
        </row>
        <row r="267">
          <cell r="A267" t="str">
            <v>JPG26</v>
          </cell>
          <cell r="B267" t="str">
            <v>VEH_THEFT</v>
          </cell>
          <cell r="C267">
            <v>2006</v>
          </cell>
          <cell r="D267">
            <v>703</v>
          </cell>
          <cell r="E267" t="str">
            <v>INSERT INTO  INPUT.FLAT ([REG_ID],[VAR],[YEAR],[VALUE])  Values ( 'JPG26','VEH_THEFT','2006','703')</v>
          </cell>
        </row>
        <row r="268">
          <cell r="A268" t="str">
            <v>JPG27</v>
          </cell>
          <cell r="B268" t="str">
            <v>VEH_THEFT</v>
          </cell>
          <cell r="C268">
            <v>2006</v>
          </cell>
          <cell r="D268">
            <v>5183</v>
          </cell>
          <cell r="E268" t="str">
            <v>INSERT INTO  INPUT.FLAT ([REG_ID],[VAR],[YEAR],[VALUE])  Values ( 'JPG27','VEH_THEFT','2006','5183')</v>
          </cell>
        </row>
        <row r="269">
          <cell r="A269" t="str">
            <v>JPG28</v>
          </cell>
          <cell r="B269" t="str">
            <v>VEH_THEFT</v>
          </cell>
          <cell r="C269">
            <v>2006</v>
          </cell>
          <cell r="D269">
            <v>1810</v>
          </cell>
          <cell r="E269" t="str">
            <v>INSERT INTO  INPUT.FLAT ([REG_ID],[VAR],[YEAR],[VALUE])  Values ( 'JPG28','VEH_THEFT','2006','1810')</v>
          </cell>
        </row>
        <row r="270">
          <cell r="A270" t="str">
            <v>JPG29</v>
          </cell>
          <cell r="B270" t="str">
            <v>VEH_THEFT</v>
          </cell>
          <cell r="C270">
            <v>2006</v>
          </cell>
          <cell r="D270">
            <v>284</v>
          </cell>
          <cell r="E270" t="str">
            <v>INSERT INTO  INPUT.FLAT ([REG_ID],[VAR],[YEAR],[VALUE])  Values ( 'JPG29','VEH_THEFT','2006','284')</v>
          </cell>
        </row>
        <row r="271">
          <cell r="A271" t="str">
            <v>JPG30</v>
          </cell>
          <cell r="B271" t="str">
            <v>VEH_THEFT</v>
          </cell>
          <cell r="C271">
            <v>2006</v>
          </cell>
          <cell r="D271">
            <v>191</v>
          </cell>
          <cell r="E271" t="str">
            <v>INSERT INTO  INPUT.FLAT ([REG_ID],[VAR],[YEAR],[VALUE])  Values ( 'JPG30','VEH_THEFT','2006','191')</v>
          </cell>
        </row>
        <row r="272">
          <cell r="A272" t="str">
            <v>JPH</v>
          </cell>
          <cell r="B272" t="str">
            <v>VEH_THEFT</v>
          </cell>
          <cell r="C272">
            <v>2006</v>
          </cell>
          <cell r="D272">
            <v>782</v>
          </cell>
          <cell r="E272" t="str">
            <v>INSERT INTO  INPUT.FLAT ([REG_ID],[VAR],[YEAR],[VALUE])  Values ( 'JPH','VEH_THEFT','2006','782')</v>
          </cell>
        </row>
        <row r="273">
          <cell r="A273" t="str">
            <v>JPH31</v>
          </cell>
          <cell r="B273" t="str">
            <v>VEH_THEFT</v>
          </cell>
          <cell r="C273">
            <v>2006</v>
          </cell>
          <cell r="D273">
            <v>46</v>
          </cell>
          <cell r="E273" t="str">
            <v>INSERT INTO  INPUT.FLAT ([REG_ID],[VAR],[YEAR],[VALUE])  Values ( 'JPH31','VEH_THEFT','2006','46')</v>
          </cell>
        </row>
        <row r="274">
          <cell r="A274" t="str">
            <v>JPH32</v>
          </cell>
          <cell r="B274" t="str">
            <v>VEH_THEFT</v>
          </cell>
          <cell r="C274">
            <v>2006</v>
          </cell>
          <cell r="D274">
            <v>47</v>
          </cell>
          <cell r="E274" t="str">
            <v>INSERT INTO  INPUT.FLAT ([REG_ID],[VAR],[YEAR],[VALUE])  Values ( 'JPH32','VEH_THEFT','2006','47')</v>
          </cell>
        </row>
        <row r="275">
          <cell r="A275" t="str">
            <v>JPH33</v>
          </cell>
          <cell r="B275" t="str">
            <v>VEH_THEFT</v>
          </cell>
          <cell r="C275">
            <v>2006</v>
          </cell>
          <cell r="D275">
            <v>370</v>
          </cell>
          <cell r="E275" t="str">
            <v>INSERT INTO  INPUT.FLAT ([REG_ID],[VAR],[YEAR],[VALUE])  Values ( 'JPH33','VEH_THEFT','2006','370')</v>
          </cell>
        </row>
        <row r="276">
          <cell r="A276" t="str">
            <v>JPH34</v>
          </cell>
          <cell r="B276" t="str">
            <v>VEH_THEFT</v>
          </cell>
          <cell r="C276">
            <v>2006</v>
          </cell>
          <cell r="D276">
            <v>239</v>
          </cell>
          <cell r="E276" t="str">
            <v>INSERT INTO  INPUT.FLAT ([REG_ID],[VAR],[YEAR],[VALUE])  Values ( 'JPH34','VEH_THEFT','2006','239')</v>
          </cell>
        </row>
        <row r="277">
          <cell r="A277" t="str">
            <v>JPH35</v>
          </cell>
          <cell r="B277" t="str">
            <v>VEH_THEFT</v>
          </cell>
          <cell r="C277">
            <v>2006</v>
          </cell>
          <cell r="D277">
            <v>80</v>
          </cell>
          <cell r="E277" t="str">
            <v>INSERT INTO  INPUT.FLAT ([REG_ID],[VAR],[YEAR],[VALUE])  Values ( 'JPH35','VEH_THEFT','2006','80')</v>
          </cell>
        </row>
        <row r="278">
          <cell r="A278" t="str">
            <v>JPI</v>
          </cell>
          <cell r="B278" t="str">
            <v>VEH_THEFT</v>
          </cell>
          <cell r="C278">
            <v>2006</v>
          </cell>
          <cell r="D278">
            <v>375</v>
          </cell>
          <cell r="E278" t="str">
            <v>INSERT INTO  INPUT.FLAT ([REG_ID],[VAR],[YEAR],[VALUE])  Values ( 'JPI','VEH_THEFT','2006','375')</v>
          </cell>
        </row>
        <row r="279">
          <cell r="A279" t="str">
            <v>JPI36</v>
          </cell>
          <cell r="B279" t="str">
            <v>VEH_THEFT</v>
          </cell>
          <cell r="C279">
            <v>2006</v>
          </cell>
          <cell r="D279">
            <v>51</v>
          </cell>
          <cell r="E279" t="str">
            <v>INSERT INTO  INPUT.FLAT ([REG_ID],[VAR],[YEAR],[VALUE])  Values ( 'JPI36','VEH_THEFT','2006','51')</v>
          </cell>
        </row>
        <row r="280">
          <cell r="A280" t="str">
            <v>JPI37</v>
          </cell>
          <cell r="B280" t="str">
            <v>VEH_THEFT</v>
          </cell>
          <cell r="C280">
            <v>2006</v>
          </cell>
          <cell r="D280">
            <v>117</v>
          </cell>
          <cell r="E280" t="str">
            <v>INSERT INTO  INPUT.FLAT ([REG_ID],[VAR],[YEAR],[VALUE])  Values ( 'JPI37','VEH_THEFT','2006','117')</v>
          </cell>
        </row>
        <row r="281">
          <cell r="A281" t="str">
            <v>JPI38</v>
          </cell>
          <cell r="B281" t="str">
            <v>VEH_THEFT</v>
          </cell>
          <cell r="C281">
            <v>2006</v>
          </cell>
          <cell r="D281">
            <v>140</v>
          </cell>
          <cell r="E281" t="str">
            <v>INSERT INTO  INPUT.FLAT ([REG_ID],[VAR],[YEAR],[VALUE])  Values ( 'JPI38','VEH_THEFT','2006','140')</v>
          </cell>
        </row>
        <row r="282">
          <cell r="A282" t="str">
            <v>JPI39</v>
          </cell>
          <cell r="B282" t="str">
            <v>VEH_THEFT</v>
          </cell>
          <cell r="C282">
            <v>2006</v>
          </cell>
          <cell r="D282">
            <v>67</v>
          </cell>
          <cell r="E282" t="str">
            <v>INSERT INTO  INPUT.FLAT ([REG_ID],[VAR],[YEAR],[VALUE])  Values ( 'JPI39','VEH_THEFT','2006','67')</v>
          </cell>
        </row>
        <row r="283">
          <cell r="A283" t="str">
            <v>JPJ</v>
          </cell>
          <cell r="B283" t="str">
            <v>VEH_THEFT</v>
          </cell>
          <cell r="C283">
            <v>2006</v>
          </cell>
          <cell r="D283">
            <v>2415</v>
          </cell>
          <cell r="E283" t="str">
            <v>INSERT INTO  INPUT.FLAT ([REG_ID],[VAR],[YEAR],[VALUE])  Values ( 'JPJ','VEH_THEFT','2006','2415')</v>
          </cell>
        </row>
        <row r="284">
          <cell r="A284" t="str">
            <v>JPJ40</v>
          </cell>
          <cell r="B284" t="str">
            <v>VEH_THEFT</v>
          </cell>
          <cell r="C284">
            <v>2006</v>
          </cell>
          <cell r="D284">
            <v>1596</v>
          </cell>
          <cell r="E284" t="str">
            <v>INSERT INTO  INPUT.FLAT ([REG_ID],[VAR],[YEAR],[VALUE])  Values ( 'JPJ40','VEH_THEFT','2006','1596')</v>
          </cell>
        </row>
        <row r="285">
          <cell r="A285" t="str">
            <v>JPJ41</v>
          </cell>
          <cell r="B285" t="str">
            <v>VEH_THEFT</v>
          </cell>
          <cell r="C285">
            <v>2006</v>
          </cell>
          <cell r="D285">
            <v>89</v>
          </cell>
          <cell r="E285" t="str">
            <v>INSERT INTO  INPUT.FLAT ([REG_ID],[VAR],[YEAR],[VALUE])  Values ( 'JPJ41','VEH_THEFT','2006','89')</v>
          </cell>
        </row>
        <row r="286">
          <cell r="A286" t="str">
            <v>JPJ42</v>
          </cell>
          <cell r="B286" t="str">
            <v>VEH_THEFT</v>
          </cell>
          <cell r="C286">
            <v>2006</v>
          </cell>
          <cell r="D286">
            <v>69</v>
          </cell>
          <cell r="E286" t="str">
            <v>INSERT INTO  INPUT.FLAT ([REG_ID],[VAR],[YEAR],[VALUE])  Values ( 'JPJ42','VEH_THEFT','2006','69')</v>
          </cell>
        </row>
        <row r="287">
          <cell r="A287" t="str">
            <v>JPJ43</v>
          </cell>
          <cell r="B287" t="str">
            <v>VEH_THEFT</v>
          </cell>
          <cell r="C287">
            <v>2006</v>
          </cell>
          <cell r="D287">
            <v>159</v>
          </cell>
          <cell r="E287" t="str">
            <v>INSERT INTO  INPUT.FLAT ([REG_ID],[VAR],[YEAR],[VALUE])  Values ( 'JPJ43','VEH_THEFT','2006','159')</v>
          </cell>
        </row>
        <row r="288">
          <cell r="A288" t="str">
            <v>JPJ44</v>
          </cell>
          <cell r="B288" t="str">
            <v>VEH_THEFT</v>
          </cell>
          <cell r="C288">
            <v>2006</v>
          </cell>
          <cell r="D288">
            <v>76</v>
          </cell>
          <cell r="E288" t="str">
            <v>INSERT INTO  INPUT.FLAT ([REG_ID],[VAR],[YEAR],[VALUE])  Values ( 'JPJ44','VEH_THEFT','2006','76')</v>
          </cell>
        </row>
        <row r="289">
          <cell r="A289" t="str">
            <v>JPJ45</v>
          </cell>
          <cell r="B289" t="str">
            <v>VEH_THEFT</v>
          </cell>
          <cell r="C289">
            <v>2006</v>
          </cell>
          <cell r="D289">
            <v>66</v>
          </cell>
          <cell r="E289" t="str">
            <v>INSERT INTO  INPUT.FLAT ([REG_ID],[VAR],[YEAR],[VALUE])  Values ( 'JPJ45','VEH_THEFT','2006','66')</v>
          </cell>
        </row>
        <row r="290">
          <cell r="A290" t="str">
            <v>JPJ46</v>
          </cell>
          <cell r="B290" t="str">
            <v>VEH_THEFT</v>
          </cell>
          <cell r="C290">
            <v>2006</v>
          </cell>
          <cell r="D290">
            <v>148</v>
          </cell>
          <cell r="E290" t="str">
            <v>INSERT INTO  INPUT.FLAT ([REG_ID],[VAR],[YEAR],[VALUE])  Values ( 'JPJ46','VEH_THEFT','2006','148')</v>
          </cell>
        </row>
        <row r="291">
          <cell r="A291" t="str">
            <v>JPJ47</v>
          </cell>
          <cell r="B291" t="str">
            <v>VEH_THEFT</v>
          </cell>
          <cell r="C291">
            <v>2006</v>
          </cell>
          <cell r="D291">
            <v>212</v>
          </cell>
          <cell r="E291" t="str">
            <v>INSERT INTO  INPUT.FLAT ([REG_ID],[VAR],[YEAR],[VALUE])  Values ( 'JPJ47','VEH_THEFT','2006','212')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rt"/>
      <sheetName val="domestic"/>
      <sheetName val="Results"/>
      <sheetName val="Result copy"/>
      <sheetName val="Idx"/>
      <sheetName val="M1_X"/>
      <sheetName val="M2_VA"/>
      <sheetName val="M3_Import"/>
      <sheetName val="M4_Domestic"/>
      <sheetName val="IL"/>
      <sheetName val="I-4"/>
      <sheetName val="Inverse"/>
      <sheetName val="Check Inv"/>
      <sheetName val="u"/>
      <sheetName val="u.3"/>
      <sheetName val="u.3.Inv"/>
      <sheetName val="u.3.Inv.X"/>
      <sheetName val="IL.Inv"/>
      <sheetName val="IL.Inv.X"/>
      <sheetName val="2.Inv"/>
      <sheetName val="2.Inv.X"/>
      <sheetName val="ind200304import"/>
      <sheetName val="ind200304domestic"/>
      <sheetName val="che2001import"/>
      <sheetName val="che2001domestic"/>
      <sheetName val="fin2005total"/>
      <sheetName val="FIN2005import"/>
      <sheetName val="FIN2005domestic"/>
      <sheetName val="fin2005ttl.org"/>
      <sheetName val="cze2000total"/>
      <sheetName val="cze2000import"/>
      <sheetName val="cze2000domestic"/>
      <sheetName val="cze2000ttl.org"/>
      <sheetName val="cze2005total"/>
      <sheetName val="cze2005import"/>
      <sheetName val="cze2005domestic"/>
      <sheetName val="cze2005ttl.org"/>
      <sheetName val="deu1995total"/>
      <sheetName val="deu1995import"/>
      <sheetName val="deu1995domestic"/>
      <sheetName val="deu1995ttl.org"/>
      <sheetName val="deu2000total"/>
      <sheetName val="deu2000import"/>
      <sheetName val="deu2000domestic"/>
      <sheetName val="deu2000ttl.org"/>
      <sheetName val="deu2005total"/>
      <sheetName val="deu2005import"/>
      <sheetName val="deu2005domestic"/>
      <sheetName val="deu2005ttl.org"/>
      <sheetName val="dnk1995total"/>
      <sheetName val="dnk1995domestic"/>
      <sheetName val="dnk1995import"/>
      <sheetName val="dnk1995ttl.org"/>
      <sheetName val="dnk2000total"/>
      <sheetName val="dnk2000domestic"/>
      <sheetName val="dnk2000import"/>
      <sheetName val="dnk2000ttl.org"/>
      <sheetName val="dnk2005total"/>
      <sheetName val="dnk2005domestic"/>
      <sheetName val="dnk2005import"/>
      <sheetName val="dnk2005ttl.org"/>
      <sheetName val="esp1995total"/>
      <sheetName val="esp1995import"/>
      <sheetName val="esp1995domestic"/>
      <sheetName val="esp1995ttl.org"/>
      <sheetName val="esp2000total"/>
      <sheetName val="esp2000import"/>
      <sheetName val="esp2000domestic"/>
      <sheetName val="esp2000ttl.org"/>
      <sheetName val="esp2005total"/>
      <sheetName val="esp2005import"/>
      <sheetName val="esp2005domestic"/>
      <sheetName val="esp2005ttl.org"/>
      <sheetName val="est1997total"/>
      <sheetName val="est1997import"/>
      <sheetName val="est1997domestic"/>
      <sheetName val="est1997ttl.org"/>
      <sheetName val="est2000total"/>
      <sheetName val="est2000import"/>
      <sheetName val="est2000domestic"/>
      <sheetName val="est2000ttl.org"/>
      <sheetName val="est2005total"/>
      <sheetName val="est2005import"/>
      <sheetName val="est2005domestic"/>
      <sheetName val="est2005ttl.org"/>
      <sheetName val="fin1995total"/>
      <sheetName val="fin1995import"/>
      <sheetName val="fin1995domestic"/>
      <sheetName val="fin1995ttl.org"/>
      <sheetName val="fin2000total"/>
      <sheetName val="fin2000import"/>
      <sheetName val="fin2000domestic"/>
      <sheetName val="fin2000ttl.org"/>
      <sheetName val="arg1997total"/>
      <sheetName val="arg1997import"/>
      <sheetName val="arg1997domestic"/>
      <sheetName val="arg1997ttl.org"/>
      <sheetName val="chn2005total"/>
      <sheetName val="chn2005import"/>
      <sheetName val="chn2005domestic"/>
      <sheetName val="chn2005ttl.org"/>
      <sheetName val="aus199899total"/>
      <sheetName val="aus199899domestic"/>
      <sheetName val="aus199899import"/>
      <sheetName val="aus199899ttl.org"/>
      <sheetName val="aus200405total"/>
      <sheetName val="aus200405domestic"/>
      <sheetName val="aus200405import"/>
      <sheetName val="aus200405ttl.org"/>
      <sheetName val="aut1995total"/>
      <sheetName val="aut1995domestic"/>
      <sheetName val="aut1995import"/>
      <sheetName val="aut1995total.org"/>
      <sheetName val="aut2000total"/>
      <sheetName val="aut2000domestic"/>
      <sheetName val="aut2000import"/>
      <sheetName val="aut2000ttl.org"/>
      <sheetName val="aut2005total"/>
      <sheetName val="aut2005domestic"/>
      <sheetName val="aut2005import"/>
      <sheetName val="aut2005ttl.org"/>
      <sheetName val="bel1995total"/>
      <sheetName val="bel1995import"/>
      <sheetName val="bel1995domestic"/>
      <sheetName val="bel1995ttl.org"/>
      <sheetName val="bel2000total"/>
      <sheetName val="bel2000import"/>
      <sheetName val="bel2000domestic"/>
      <sheetName val="bel2000ttl.org"/>
      <sheetName val="bel2004total"/>
      <sheetName val="bel2004import"/>
      <sheetName val="bel2004domestic"/>
      <sheetName val="bel2004ttl.org"/>
      <sheetName val="bra1995total"/>
      <sheetName val="bra1995domestic"/>
      <sheetName val="bra1995import"/>
      <sheetName val="bra1995ttl.org"/>
      <sheetName val="bra2000total"/>
      <sheetName val="bra2000import"/>
      <sheetName val="bra2000domestic"/>
      <sheetName val="bra2000ttl.org"/>
      <sheetName val="bra2005total"/>
      <sheetName val="bra2005import"/>
      <sheetName val="bra2005domestic"/>
      <sheetName val="bra2005ttl.org"/>
      <sheetName val="can1995total"/>
      <sheetName val="can1995import"/>
      <sheetName val="can1995domestic"/>
      <sheetName val="can1995ttl.org"/>
      <sheetName val="can2000total"/>
      <sheetName val="can2000import"/>
      <sheetName val="can2000domestic"/>
      <sheetName val="can2000ttl.org"/>
      <sheetName val="can2005total"/>
      <sheetName val="can2005import"/>
      <sheetName val="can2005domestic"/>
      <sheetName val="can2005ttl.org"/>
      <sheetName val="chn1995total"/>
      <sheetName val="chn1995import"/>
      <sheetName val="chn1995domestic"/>
      <sheetName val="chn1995ttl.org"/>
      <sheetName val="chn2000total"/>
      <sheetName val="chn2000import"/>
      <sheetName val="chn2000domestic"/>
      <sheetName val="chn2000ttl.org"/>
      <sheetName val="mex2003total"/>
      <sheetName val="mex2003domestic"/>
      <sheetName val="mex2003import"/>
      <sheetName val="mex2003ttl.org"/>
      <sheetName val="nld1995total"/>
      <sheetName val="nld1995import"/>
      <sheetName val="nld1995domestic"/>
      <sheetName val="nld1995ttl.org"/>
      <sheetName val="nld2000total"/>
      <sheetName val="nld2000import"/>
      <sheetName val="nld2000domestic"/>
      <sheetName val="nld2000ttl.org"/>
      <sheetName val="nld2005total"/>
      <sheetName val="nld2005import"/>
      <sheetName val="nld2005domestic"/>
      <sheetName val="nld2005ttl.org"/>
      <sheetName val="nor1995total"/>
      <sheetName val="nor1995import"/>
      <sheetName val="nor1995domestic"/>
      <sheetName val="nor1995ttl.org"/>
      <sheetName val="nor2000total"/>
      <sheetName val="nor2000import"/>
      <sheetName val="nor2000domestic"/>
      <sheetName val="nor2000ttl.org"/>
      <sheetName val="nzl199596total"/>
      <sheetName val="nzl199596import"/>
      <sheetName val="nzl199596domestic"/>
      <sheetName val="nzl199596ttl.org"/>
      <sheetName val="nzl200203total"/>
      <sheetName val="nzl200203import"/>
      <sheetName val="nzl200203domestic"/>
      <sheetName val="nzl200203ttl.org"/>
      <sheetName val="pol1995total"/>
      <sheetName val="pol1995import"/>
      <sheetName val="pol1995domestic"/>
      <sheetName val="pol1995ttl.org"/>
      <sheetName val="pol2000total"/>
      <sheetName val="pol2000import"/>
      <sheetName val="pol2000domestic"/>
      <sheetName val="pol2000ttl.org"/>
      <sheetName val="pol2004total"/>
      <sheetName val="pol2004import"/>
      <sheetName val="pol2004domestic"/>
      <sheetName val="pol2004ttl.org"/>
      <sheetName val="prt1995total"/>
      <sheetName val="prt1995import"/>
      <sheetName val="prt1995domestic"/>
      <sheetName val="prt1995ttl.org"/>
      <sheetName val="prt2000total"/>
      <sheetName val="prt2000import"/>
      <sheetName val="prt2000domestic"/>
      <sheetName val="prt2000ttl.org"/>
      <sheetName val="prt2005total"/>
      <sheetName val="prt2005import"/>
      <sheetName val="prt2005domestic"/>
      <sheetName val="prt2005ttl.org"/>
      <sheetName val="rus1995total"/>
      <sheetName val="rus1995import"/>
      <sheetName val="rus1995domestic"/>
      <sheetName val="rus1995ttl.org"/>
      <sheetName val="rus2000total"/>
      <sheetName val="rus2000domestic"/>
      <sheetName val="rus2000import"/>
      <sheetName val="rus2000ttl.org"/>
      <sheetName val="lux2005total"/>
      <sheetName val="lux2005import"/>
      <sheetName val="lux2005domestic"/>
      <sheetName val="lux2005ttl.org"/>
      <sheetName val="fra1995total"/>
      <sheetName val="fra1995import"/>
      <sheetName val="fra1995domestic"/>
      <sheetName val="fra1995ttl.org"/>
      <sheetName val="fra2000total"/>
      <sheetName val="fra2000import"/>
      <sheetName val="fra2000domestic"/>
      <sheetName val="fra2000ttl.org"/>
      <sheetName val="fra2005total"/>
      <sheetName val="fra2005import"/>
      <sheetName val="fra2005domestic"/>
      <sheetName val="fra2005ttl.org"/>
      <sheetName val="gbr1995total"/>
      <sheetName val="gbr1995import"/>
      <sheetName val="gbr1995domestic"/>
      <sheetName val="gbr1995ttl.org"/>
      <sheetName val="gbr2000total"/>
      <sheetName val="gbr2000import"/>
      <sheetName val="gbr2000domestic"/>
      <sheetName val="gbr2000ttl.org"/>
      <sheetName val="gbr2003total"/>
      <sheetName val="gbr2003import"/>
      <sheetName val="gbr2003domestic"/>
      <sheetName val="gbr2003ttl.org"/>
      <sheetName val="grc1995total"/>
      <sheetName val="grc1995import"/>
      <sheetName val="grc1995domestic"/>
      <sheetName val="grc1995ttl.org"/>
      <sheetName val="grc2000total"/>
      <sheetName val="grc2000import"/>
      <sheetName val="grc2000domestic"/>
      <sheetName val="grc2000ttl.org"/>
      <sheetName val="grc2005total"/>
      <sheetName val="grc2005import"/>
      <sheetName val="grc2005domestic"/>
      <sheetName val="grc2005ttl.org"/>
      <sheetName val="hun1998total"/>
      <sheetName val="hun1998import"/>
      <sheetName val="hun1998domestic"/>
      <sheetName val="hun1998ttl.org"/>
      <sheetName val="hun2000total"/>
      <sheetName val="hun2000import"/>
      <sheetName val="hun2000domestic"/>
      <sheetName val="hun2000ttl.org"/>
      <sheetName val="hun2005total"/>
      <sheetName val="hun2005import"/>
      <sheetName val="hun2005domestic"/>
      <sheetName val="hun2005ttl.org"/>
      <sheetName val="idn1995total"/>
      <sheetName val="idn1995import"/>
      <sheetName val="idn1995domestic"/>
      <sheetName val="idn1995ttl.org"/>
      <sheetName val="idn2000total"/>
      <sheetName val="idn2000import"/>
      <sheetName val="idn2000domestic"/>
      <sheetName val="idn2000ttl.org"/>
      <sheetName val="idn2005total"/>
      <sheetName val="idn2005import"/>
      <sheetName val="idn2005domestic"/>
      <sheetName val="idn2005ttl.org"/>
      <sheetName val="ind199394total"/>
      <sheetName val="ind199394import"/>
      <sheetName val="ind199394domestic"/>
      <sheetName val="ind199394ttl.org"/>
      <sheetName val="ind199899total"/>
      <sheetName val="ind199899import"/>
      <sheetName val="ind199899domestic"/>
      <sheetName val="ind199899ttl.org"/>
      <sheetName val="irl1998total"/>
      <sheetName val="irl1998import"/>
      <sheetName val="irl1998domestic"/>
      <sheetName val="irl1998ttl.org"/>
      <sheetName val="iRL2000total"/>
      <sheetName val="iRL2000import"/>
      <sheetName val="iRL2000domestic"/>
      <sheetName val="iRL2000ttl.org"/>
      <sheetName val="iRL2005total"/>
      <sheetName val="iRL2005import"/>
      <sheetName val="iRL2005domestic"/>
      <sheetName val="iRL2005ttl.org"/>
      <sheetName val="isr1995total"/>
      <sheetName val="isr1995domestic"/>
      <sheetName val="isr1995import"/>
      <sheetName val="isr1995ttl.org"/>
      <sheetName val="ita1995total"/>
      <sheetName val="ita1995domestic"/>
      <sheetName val="ita1995import"/>
      <sheetName val="ita1995ttl.org"/>
      <sheetName val="ita2000total"/>
      <sheetName val="ita2000import"/>
      <sheetName val="ita2000domestic"/>
      <sheetName val="ita2000ttl.org"/>
      <sheetName val="ita2005total"/>
      <sheetName val="ita2005domestic"/>
      <sheetName val="ita2005import"/>
      <sheetName val="ita2005ttl.org"/>
      <sheetName val="jpn1995total"/>
      <sheetName val="jpn1995import"/>
      <sheetName val="jpn1995domestic"/>
      <sheetName val="jpn1995ttl.org"/>
      <sheetName val="jpn2000total"/>
      <sheetName val="jpn2000domestic"/>
      <sheetName val="jpn2000import"/>
      <sheetName val="jpn2000ttl.org"/>
      <sheetName val="jpn2005total"/>
      <sheetName val="jpn2005domestic"/>
      <sheetName val="jpn2005import"/>
      <sheetName val="jpn2005ttl.org"/>
      <sheetName val="kor2000total"/>
      <sheetName val="kor2000import"/>
      <sheetName val="kor2000domestic"/>
      <sheetName val="kor2000ttl.org"/>
      <sheetName val="kor2005total"/>
      <sheetName val="kor2005import"/>
      <sheetName val="kor2005domestic"/>
      <sheetName val="kor2005ttl.org"/>
      <sheetName val="lux1995total"/>
      <sheetName val="lux1995import"/>
      <sheetName val="lux1995domestic"/>
      <sheetName val="lux1995ttl.org"/>
      <sheetName val="lux2000total"/>
      <sheetName val="lux2000import"/>
      <sheetName val="lux2000domestic"/>
      <sheetName val="lux2000ttl.org"/>
      <sheetName val="zaf2000total"/>
      <sheetName val="zaf2000domestic"/>
      <sheetName val="zaf2000import"/>
      <sheetName val="zaf2000ttl.org"/>
      <sheetName val="svk1995total"/>
      <sheetName val="svk1995import"/>
      <sheetName val="svk1995domestic"/>
      <sheetName val="svk1995ttl.org"/>
      <sheetName val="svk2000total"/>
      <sheetName val="svk2000import"/>
      <sheetName val="svk2000domestic"/>
      <sheetName val="svk2000ttl.org"/>
      <sheetName val="svn2000total"/>
      <sheetName val="svn2000import"/>
      <sheetName val="svn2000domestic"/>
      <sheetName val="svn2000ttl.org"/>
      <sheetName val="svn2005total"/>
      <sheetName val="svn2005import"/>
      <sheetName val="svn2005domestic"/>
      <sheetName val="svn2005ttl.org"/>
      <sheetName val="SWE1995total"/>
      <sheetName val="SWE1995import"/>
      <sheetName val="SWE1995domestic"/>
      <sheetName val="SWE1995ttl.org"/>
      <sheetName val="swe2000total"/>
      <sheetName val="swe2000import"/>
      <sheetName val="swe2000domestic"/>
      <sheetName val="swe2000ttl.org"/>
      <sheetName val="SWE2005total"/>
      <sheetName val="SWE2005import"/>
      <sheetName val="SWE2005domestic"/>
      <sheetName val="SWE2005ttl.org"/>
      <sheetName val="TUR1996total"/>
      <sheetName val="TUR1996import"/>
      <sheetName val="TUR1996domestic"/>
      <sheetName val="TUR1996ttl.org"/>
      <sheetName val="TUR2002total"/>
      <sheetName val="TUR2002import"/>
      <sheetName val="TUR2002domestic"/>
      <sheetName val="TUR2002ttl.org"/>
      <sheetName val="TWN1996total"/>
      <sheetName val="TWN1996import"/>
      <sheetName val="TWN1996domestic"/>
      <sheetName val="TWN1996ttl.org"/>
      <sheetName val="TWN2001total"/>
      <sheetName val="TWN2001import"/>
      <sheetName val="TWN2001domestic"/>
      <sheetName val="TWN2001ttl.org"/>
      <sheetName val="usa1995total"/>
      <sheetName val="usa1995domestic"/>
      <sheetName val="usa1995import"/>
      <sheetName val="usa1995ttl.org"/>
      <sheetName val="usa2000total"/>
      <sheetName val="usa2000Import"/>
      <sheetName val="usa2000domestic"/>
      <sheetName val="usa2000ttl.org"/>
      <sheetName val="usa2005total"/>
      <sheetName val="usa2005import"/>
      <sheetName val="usa2005domestic"/>
      <sheetName val="usa2005ttl.org"/>
      <sheetName val="ZAF1993total"/>
      <sheetName val="ZAF1993domestic"/>
      <sheetName val="ZAF1993import"/>
      <sheetName val="ZAF1993ttl.org"/>
    </sheetNames>
    <sheetDataSet>
      <sheetData sheetId="0" refreshError="1"/>
      <sheetData sheetId="1" refreshError="1"/>
      <sheetData sheetId="2">
        <row r="9">
          <cell r="B9" t="str">
            <v>usa</v>
          </cell>
        </row>
        <row r="10">
          <cell r="B10">
            <v>2005</v>
          </cell>
        </row>
        <row r="11">
          <cell r="B11">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temp"/>
      <sheetName val="OUTPUT-2"/>
      <sheetName val="Sheet2"/>
      <sheetName val="BoxPlot2"/>
      <sheetName val="BoxPlot_Shifted"/>
      <sheetName val="Data_Shifted"/>
      <sheetName val="Data"/>
      <sheetName val="© Terms"/>
      <sheetName val="DATA GDPpc"/>
      <sheetName val="BoxPlot-template (2)"/>
      <sheetName val="PROCESS"/>
      <sheetName val="OUTPUT-1"/>
      <sheetName val="PROCESS (2)"/>
    </sheetNames>
    <sheetDataSet>
      <sheetData sheetId="0" refreshError="1"/>
      <sheetData sheetId="1" refreshError="1"/>
      <sheetData sheetId="2" refreshError="1"/>
      <sheetData sheetId="3" refreshError="1"/>
      <sheetData sheetId="4" refreshError="1"/>
      <sheetData sheetId="5">
        <row r="1">
          <cell r="I1">
            <v>140</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
      <sheetName val="comentary"/>
      <sheetName val="JOBS Figure 1 (YYYY)"/>
      <sheetName val="JOBS Figure 1 (2000)"/>
      <sheetName val="JOBS Figure 1 (NEW_LASTY)"/>
      <sheetName val="15-24_UNEM_RATE"/>
      <sheetName val="15-24_fig_new_UNEM_RATE"/>
      <sheetName val="Fig2 youth graph"/>
      <sheetName val="15-24_UNEM_RATEdata"/>
      <sheetName val="Sheet14"/>
      <sheetName val="Fig.1"/>
      <sheetName val="DATA_15-64"/>
      <sheetName val="DATA_15-MAX"/>
      <sheetName val="Sheet1"/>
      <sheetName val="Sheet2"/>
      <sheetName val="Sheet3"/>
      <sheetName val="Sheet6"/>
      <sheetName val="DATA-Fig3_LASTYEAR"/>
      <sheetName val="DATA-Fig3_FIRSTYEAR"/>
      <sheetName val="T_REG"/>
      <sheetName val="Fig3"/>
      <sheetName val="FIG3 NEW"/>
      <sheetName val="Fig3 comment"/>
      <sheetName val="Fig3_OECD"/>
      <sheetName val="Sheet13"/>
      <sheetName val="Sheet4"/>
      <sheetName val="Sheet5"/>
      <sheetName val="data2 -part1"/>
      <sheetName val="Sheet8"/>
      <sheetName val="Sheet7"/>
      <sheetName val="UNEMP_ST_TOP10-BOTTOM10 (VA (2"/>
      <sheetName val="UNEMP_LT_TOP10-BOTTOM1 (VAL)"/>
      <sheetName val="Sheet9"/>
      <sheetName val="UNEMP_ST_TOP10-BOTTOM10 (VAL)"/>
      <sheetName val="UNEMP_PROCESS_TOP10-BOTTOM10"/>
      <sheetName val="DATA"/>
      <sheetName val="JOBS Figure 1 (NEW)"/>
      <sheetName val="Job_v3 (Autosaved)"/>
    </sheetNames>
    <sheetDataSet>
      <sheetData sheetId="0">
        <row r="1">
          <cell r="M1" t="str">
            <v>ISO_3</v>
          </cell>
          <cell r="N1" t="str">
            <v>COU_NAME</v>
          </cell>
          <cell r="O1" t="str">
            <v>CONTINENT</v>
          </cell>
          <cell r="P1" t="str">
            <v>CURR_CODE</v>
          </cell>
          <cell r="Q1" t="str">
            <v>STATUS</v>
          </cell>
          <cell r="R1" t="str">
            <v>ID</v>
          </cell>
          <cell r="S1" t="str">
            <v>ISO_2</v>
          </cell>
          <cell r="T1" t="str">
            <v>EU_ISO_3</v>
          </cell>
        </row>
        <row r="2">
          <cell r="M2" t="str">
            <v>ALB</v>
          </cell>
          <cell r="N2" t="str">
            <v>Albania</v>
          </cell>
          <cell r="O2" t="str">
            <v>Europe</v>
          </cell>
          <cell r="P2" t="str">
            <v>ALL</v>
          </cell>
          <cell r="Q2" t="str">
            <v>NMOC</v>
          </cell>
          <cell r="R2">
            <v>56</v>
          </cell>
          <cell r="S2" t="str">
            <v>AL</v>
          </cell>
          <cell r="T2" t="str">
            <v>..</v>
          </cell>
        </row>
        <row r="3">
          <cell r="M3" t="str">
            <v>ARG</v>
          </cell>
          <cell r="N3" t="str">
            <v>Argentina</v>
          </cell>
          <cell r="O3" t="str">
            <v>SAmerica</v>
          </cell>
          <cell r="P3" t="str">
            <v>ARS</v>
          </cell>
          <cell r="Q3" t="str">
            <v>BRIICS+</v>
          </cell>
          <cell r="R3">
            <v>50</v>
          </cell>
          <cell r="S3" t="str">
            <v>AR</v>
          </cell>
          <cell r="T3" t="str">
            <v>..</v>
          </cell>
        </row>
        <row r="4">
          <cell r="M4" t="str">
            <v>AUS</v>
          </cell>
          <cell r="N4" t="str">
            <v>Australia</v>
          </cell>
          <cell r="O4" t="str">
            <v>Oceania</v>
          </cell>
          <cell r="P4" t="str">
            <v>AUD</v>
          </cell>
          <cell r="Q4" t="str">
            <v>OECD</v>
          </cell>
          <cell r="R4">
            <v>1</v>
          </cell>
          <cell r="S4" t="str">
            <v>AU</v>
          </cell>
          <cell r="T4" t="str">
            <v>..</v>
          </cell>
        </row>
        <row r="5">
          <cell r="M5" t="str">
            <v>AUT</v>
          </cell>
          <cell r="N5" t="str">
            <v>Austria</v>
          </cell>
          <cell r="O5" t="str">
            <v>Europe</v>
          </cell>
          <cell r="P5" t="str">
            <v>EUR</v>
          </cell>
          <cell r="Q5" t="str">
            <v>OECD</v>
          </cell>
          <cell r="R5">
            <v>2</v>
          </cell>
          <cell r="S5" t="str">
            <v>AT</v>
          </cell>
          <cell r="T5" t="str">
            <v>AUT</v>
          </cell>
        </row>
        <row r="6">
          <cell r="M6" t="str">
            <v>BEL</v>
          </cell>
          <cell r="N6" t="str">
            <v>Belgium</v>
          </cell>
          <cell r="O6" t="str">
            <v>Europe</v>
          </cell>
          <cell r="P6" t="str">
            <v>EUR</v>
          </cell>
          <cell r="Q6" t="str">
            <v>OECD</v>
          </cell>
          <cell r="R6">
            <v>3</v>
          </cell>
          <cell r="S6" t="str">
            <v>BE</v>
          </cell>
          <cell r="T6" t="str">
            <v>BEL</v>
          </cell>
        </row>
        <row r="7">
          <cell r="M7" t="str">
            <v>BGR</v>
          </cell>
          <cell r="N7" t="str">
            <v>Bulgaria</v>
          </cell>
          <cell r="O7" t="str">
            <v>Europe</v>
          </cell>
          <cell r="P7" t="str">
            <v>BGN</v>
          </cell>
          <cell r="Q7" t="str">
            <v>28EU</v>
          </cell>
          <cell r="R7">
            <v>41</v>
          </cell>
          <cell r="S7" t="str">
            <v>BG</v>
          </cell>
          <cell r="T7" t="str">
            <v>BGR</v>
          </cell>
        </row>
        <row r="8">
          <cell r="M8" t="str">
            <v>BRA</v>
          </cell>
          <cell r="N8" t="str">
            <v>Brazil</v>
          </cell>
          <cell r="O8" t="str">
            <v>SAmerica</v>
          </cell>
          <cell r="P8" t="str">
            <v>BRL</v>
          </cell>
          <cell r="Q8" t="str">
            <v>NOMC</v>
          </cell>
          <cell r="R8">
            <v>35</v>
          </cell>
          <cell r="S8" t="str">
            <v>BR</v>
          </cell>
          <cell r="T8" t="str">
            <v>..</v>
          </cell>
        </row>
        <row r="9">
          <cell r="M9" t="str">
            <v>CAN</v>
          </cell>
          <cell r="N9" t="str">
            <v>Canada</v>
          </cell>
          <cell r="O9" t="str">
            <v>NAmerica</v>
          </cell>
          <cell r="P9" t="str">
            <v>CAD</v>
          </cell>
          <cell r="Q9" t="str">
            <v>OECD</v>
          </cell>
          <cell r="R9">
            <v>4</v>
          </cell>
          <cell r="S9" t="str">
            <v>CA</v>
          </cell>
          <cell r="T9" t="str">
            <v>..</v>
          </cell>
        </row>
        <row r="10">
          <cell r="M10" t="str">
            <v>CHE</v>
          </cell>
          <cell r="N10" t="str">
            <v>Switzerland</v>
          </cell>
          <cell r="O10" t="str">
            <v>Europe</v>
          </cell>
          <cell r="P10" t="str">
            <v>CHF</v>
          </cell>
          <cell r="Q10" t="str">
            <v>OECD</v>
          </cell>
          <cell r="R10">
            <v>31</v>
          </cell>
          <cell r="S10" t="str">
            <v>CH</v>
          </cell>
          <cell r="T10" t="str">
            <v>..</v>
          </cell>
        </row>
        <row r="11">
          <cell r="M11" t="str">
            <v>CHL</v>
          </cell>
          <cell r="N11" t="str">
            <v>Chile</v>
          </cell>
          <cell r="O11" t="str">
            <v>SAmerica</v>
          </cell>
          <cell r="P11" t="str">
            <v>CLP</v>
          </cell>
          <cell r="Q11" t="str">
            <v>OECD</v>
          </cell>
          <cell r="R11">
            <v>5</v>
          </cell>
          <cell r="S11" t="str">
            <v>CL</v>
          </cell>
          <cell r="T11" t="str">
            <v>..</v>
          </cell>
        </row>
        <row r="12">
          <cell r="M12" t="str">
            <v>CHN</v>
          </cell>
          <cell r="N12" t="str">
            <v>China</v>
          </cell>
          <cell r="O12" t="str">
            <v>Asia</v>
          </cell>
          <cell r="P12" t="str">
            <v>CNY</v>
          </cell>
          <cell r="Q12" t="str">
            <v>NOMC</v>
          </cell>
          <cell r="R12">
            <v>37</v>
          </cell>
          <cell r="S12" t="str">
            <v>CN</v>
          </cell>
          <cell r="T12" t="str">
            <v>..</v>
          </cell>
        </row>
        <row r="13">
          <cell r="M13" t="str">
            <v>COL</v>
          </cell>
          <cell r="N13" t="str">
            <v>Colombia</v>
          </cell>
          <cell r="O13" t="str">
            <v>SAmerica</v>
          </cell>
          <cell r="P13" t="str">
            <v>COP</v>
          </cell>
          <cell r="Q13" t="str">
            <v>NOMC</v>
          </cell>
          <cell r="R13">
            <v>42</v>
          </cell>
          <cell r="S13" t="str">
            <v>CO</v>
          </cell>
          <cell r="T13" t="str">
            <v>..</v>
          </cell>
        </row>
        <row r="14">
          <cell r="M14" t="str">
            <v>CRI</v>
          </cell>
          <cell r="N14" t="str">
            <v>Costa Rica</v>
          </cell>
          <cell r="O14" t="str">
            <v>CAmerica</v>
          </cell>
          <cell r="P14" t="str">
            <v>CRC</v>
          </cell>
          <cell r="Q14" t="str">
            <v>NOMC</v>
          </cell>
          <cell r="R14">
            <v>54</v>
          </cell>
          <cell r="S14" t="str">
            <v>CR</v>
          </cell>
          <cell r="T14" t="str">
            <v>..</v>
          </cell>
        </row>
        <row r="15">
          <cell r="M15" t="str">
            <v>CYP</v>
          </cell>
          <cell r="N15" t="str">
            <v>Cyprus</v>
          </cell>
          <cell r="O15" t="str">
            <v>Europe</v>
          </cell>
          <cell r="P15" t="str">
            <v>CYP</v>
          </cell>
          <cell r="Q15" t="str">
            <v>28EU</v>
          </cell>
          <cell r="R15">
            <v>44</v>
          </cell>
          <cell r="S15" t="str">
            <v>CY</v>
          </cell>
          <cell r="T15" t="str">
            <v>CYP</v>
          </cell>
        </row>
        <row r="16">
          <cell r="M16" t="str">
            <v>CZE</v>
          </cell>
          <cell r="N16" t="str">
            <v>Czech Republic</v>
          </cell>
          <cell r="O16" t="str">
            <v>Europe</v>
          </cell>
          <cell r="P16" t="str">
            <v>CZK</v>
          </cell>
          <cell r="Q16" t="str">
            <v>OECD</v>
          </cell>
          <cell r="R16">
            <v>6</v>
          </cell>
          <cell r="S16" t="str">
            <v>CZ</v>
          </cell>
          <cell r="T16" t="str">
            <v>CZE</v>
          </cell>
        </row>
        <row r="17">
          <cell r="M17" t="str">
            <v>DEU</v>
          </cell>
          <cell r="N17" t="str">
            <v>Germany</v>
          </cell>
          <cell r="O17" t="str">
            <v>Europe</v>
          </cell>
          <cell r="P17" t="str">
            <v>EUR</v>
          </cell>
          <cell r="Q17" t="str">
            <v>OECD</v>
          </cell>
          <cell r="R17">
            <v>11</v>
          </cell>
          <cell r="S17" t="str">
            <v>DE</v>
          </cell>
          <cell r="T17" t="str">
            <v>DEU</v>
          </cell>
        </row>
        <row r="18">
          <cell r="M18" t="str">
            <v>DNK</v>
          </cell>
          <cell r="N18" t="str">
            <v>Denmark</v>
          </cell>
          <cell r="O18" t="str">
            <v>Europe</v>
          </cell>
          <cell r="P18" t="str">
            <v>DKK</v>
          </cell>
          <cell r="Q18" t="str">
            <v>OECD</v>
          </cell>
          <cell r="R18">
            <v>7</v>
          </cell>
          <cell r="S18" t="str">
            <v>DK</v>
          </cell>
          <cell r="T18" t="str">
            <v>DNK</v>
          </cell>
        </row>
        <row r="19">
          <cell r="M19" t="str">
            <v>E19</v>
          </cell>
          <cell r="N19" t="str">
            <v>Euro Area (19 countries)</v>
          </cell>
          <cell r="O19" t="str">
            <v>Euro zone</v>
          </cell>
          <cell r="P19" t="str">
            <v>EUR</v>
          </cell>
          <cell r="Q19" t="str">
            <v>EUR</v>
          </cell>
          <cell r="R19">
            <v>56</v>
          </cell>
          <cell r="S19" t="str">
            <v>EA</v>
          </cell>
          <cell r="T19" t="str">
            <v>..</v>
          </cell>
        </row>
        <row r="20">
          <cell r="M20" t="str">
            <v>E28</v>
          </cell>
          <cell r="N20" t="str">
            <v>EU-28</v>
          </cell>
          <cell r="O20" t="str">
            <v>Europe</v>
          </cell>
          <cell r="P20" t="str">
            <v>EUR</v>
          </cell>
          <cell r="Q20" t="str">
            <v>28EU</v>
          </cell>
          <cell r="R20">
            <v>55</v>
          </cell>
          <cell r="S20" t="str">
            <v>EU</v>
          </cell>
          <cell r="T20" t="str">
            <v>..</v>
          </cell>
        </row>
        <row r="21">
          <cell r="M21" t="str">
            <v>ESP</v>
          </cell>
          <cell r="N21" t="str">
            <v>Spain</v>
          </cell>
          <cell r="O21" t="str">
            <v>Europe</v>
          </cell>
          <cell r="P21" t="str">
            <v>EUR</v>
          </cell>
          <cell r="Q21" t="str">
            <v>OECD</v>
          </cell>
          <cell r="R21">
            <v>29</v>
          </cell>
          <cell r="S21" t="str">
            <v>ES</v>
          </cell>
          <cell r="T21" t="str">
            <v>ESP</v>
          </cell>
        </row>
        <row r="22">
          <cell r="M22" t="str">
            <v>EST</v>
          </cell>
          <cell r="N22" t="str">
            <v>Estonia</v>
          </cell>
          <cell r="O22" t="str">
            <v>Europe</v>
          </cell>
          <cell r="P22" t="str">
            <v>EEK</v>
          </cell>
          <cell r="Q22" t="str">
            <v>OECD</v>
          </cell>
          <cell r="R22">
            <v>8</v>
          </cell>
          <cell r="S22" t="str">
            <v>EE</v>
          </cell>
          <cell r="T22" t="str">
            <v>EST</v>
          </cell>
        </row>
        <row r="23">
          <cell r="M23" t="str">
            <v>FIN</v>
          </cell>
          <cell r="N23" t="str">
            <v>Finland</v>
          </cell>
          <cell r="O23" t="str">
            <v>Europe</v>
          </cell>
          <cell r="P23" t="str">
            <v>EUR</v>
          </cell>
          <cell r="Q23" t="str">
            <v>OECD</v>
          </cell>
          <cell r="R23">
            <v>9</v>
          </cell>
          <cell r="S23" t="str">
            <v>FI</v>
          </cell>
          <cell r="T23" t="str">
            <v>FIN</v>
          </cell>
        </row>
        <row r="24">
          <cell r="M24" t="str">
            <v>FRA</v>
          </cell>
          <cell r="N24" t="str">
            <v>France</v>
          </cell>
          <cell r="O24" t="str">
            <v>Europe</v>
          </cell>
          <cell r="P24" t="str">
            <v>EUR</v>
          </cell>
          <cell r="Q24" t="str">
            <v>OECD</v>
          </cell>
          <cell r="R24">
            <v>10</v>
          </cell>
          <cell r="S24" t="str">
            <v>FR</v>
          </cell>
          <cell r="T24" t="str">
            <v>FRA</v>
          </cell>
        </row>
        <row r="25">
          <cell r="M25" t="str">
            <v>GBR</v>
          </cell>
          <cell r="N25" t="str">
            <v>United Kingdom</v>
          </cell>
          <cell r="O25" t="str">
            <v>Europe</v>
          </cell>
          <cell r="P25" t="str">
            <v>GBP</v>
          </cell>
          <cell r="Q25" t="str">
            <v>OECD</v>
          </cell>
          <cell r="R25">
            <v>33</v>
          </cell>
          <cell r="S25" t="str">
            <v>GB</v>
          </cell>
          <cell r="T25" t="str">
            <v>GBR</v>
          </cell>
        </row>
        <row r="26">
          <cell r="M26" t="str">
            <v>GRC</v>
          </cell>
          <cell r="N26" t="str">
            <v>Greece</v>
          </cell>
          <cell r="O26" t="str">
            <v>Europe</v>
          </cell>
          <cell r="P26" t="str">
            <v>EUR</v>
          </cell>
          <cell r="Q26" t="str">
            <v>OECD</v>
          </cell>
          <cell r="R26">
            <v>12</v>
          </cell>
          <cell r="S26" t="str">
            <v>GR</v>
          </cell>
          <cell r="T26" t="str">
            <v>GRC</v>
          </cell>
        </row>
        <row r="27">
          <cell r="M27" t="str">
            <v>HKG</v>
          </cell>
          <cell r="N27" t="str">
            <v>Special Administrative Region of Hong Kong</v>
          </cell>
          <cell r="O27" t="str">
            <v>Asia</v>
          </cell>
          <cell r="P27" t="str">
            <v>CNY</v>
          </cell>
          <cell r="Q27" t="str">
            <v>NMOC</v>
          </cell>
          <cell r="R27">
            <v>59</v>
          </cell>
          <cell r="S27" t="str">
            <v>HK</v>
          </cell>
          <cell r="T27" t="str">
            <v>..</v>
          </cell>
        </row>
        <row r="28">
          <cell r="M28" t="str">
            <v>HRV</v>
          </cell>
          <cell r="N28" t="str">
            <v>Croatia</v>
          </cell>
          <cell r="O28" t="str">
            <v>Europe</v>
          </cell>
          <cell r="P28" t="str">
            <v>HRK</v>
          </cell>
          <cell r="Q28" t="str">
            <v>28EU</v>
          </cell>
          <cell r="R28">
            <v>43</v>
          </cell>
          <cell r="S28" t="str">
            <v>HR</v>
          </cell>
          <cell r="T28" t="str">
            <v>HRV</v>
          </cell>
        </row>
        <row r="29">
          <cell r="M29" t="str">
            <v>HUN</v>
          </cell>
          <cell r="N29" t="str">
            <v>Hungary</v>
          </cell>
          <cell r="O29" t="str">
            <v>Europe</v>
          </cell>
          <cell r="P29" t="str">
            <v>HUF</v>
          </cell>
          <cell r="Q29" t="str">
            <v>OECD</v>
          </cell>
          <cell r="R29">
            <v>13</v>
          </cell>
          <cell r="S29" t="str">
            <v>HU</v>
          </cell>
          <cell r="T29" t="str">
            <v>HUN</v>
          </cell>
        </row>
        <row r="30">
          <cell r="M30" t="str">
            <v>IDN</v>
          </cell>
          <cell r="N30" t="str">
            <v>Indonesia</v>
          </cell>
          <cell r="O30" t="str">
            <v>Asia</v>
          </cell>
          <cell r="P30" t="str">
            <v>IDR</v>
          </cell>
          <cell r="Q30" t="str">
            <v>NOMC</v>
          </cell>
          <cell r="R30">
            <v>39</v>
          </cell>
          <cell r="S30" t="str">
            <v>ID</v>
          </cell>
          <cell r="T30" t="str">
            <v>..</v>
          </cell>
        </row>
        <row r="31">
          <cell r="M31" t="str">
            <v>IND</v>
          </cell>
          <cell r="N31" t="str">
            <v>India</v>
          </cell>
          <cell r="O31" t="str">
            <v>Asia</v>
          </cell>
          <cell r="P31" t="str">
            <v>INR</v>
          </cell>
          <cell r="Q31" t="str">
            <v>NOMC</v>
          </cell>
          <cell r="R31">
            <v>38</v>
          </cell>
          <cell r="S31" t="str">
            <v>IN</v>
          </cell>
          <cell r="T31" t="str">
            <v>..</v>
          </cell>
        </row>
        <row r="32">
          <cell r="M32" t="str">
            <v>IRL</v>
          </cell>
          <cell r="N32" t="str">
            <v>Ireland</v>
          </cell>
          <cell r="O32" t="str">
            <v>Europe</v>
          </cell>
          <cell r="P32" t="str">
            <v>EUR</v>
          </cell>
          <cell r="Q32" t="str">
            <v>OECD</v>
          </cell>
          <cell r="R32">
            <v>15</v>
          </cell>
          <cell r="S32" t="str">
            <v>IE</v>
          </cell>
          <cell r="T32" t="str">
            <v>IRL</v>
          </cell>
        </row>
        <row r="33">
          <cell r="M33" t="str">
            <v>ISL</v>
          </cell>
          <cell r="N33" t="str">
            <v>Iceland</v>
          </cell>
          <cell r="O33" t="str">
            <v>Europe</v>
          </cell>
          <cell r="P33" t="str">
            <v>ISK</v>
          </cell>
          <cell r="Q33" t="str">
            <v>OECD</v>
          </cell>
          <cell r="R33">
            <v>14</v>
          </cell>
          <cell r="S33" t="str">
            <v>IS</v>
          </cell>
          <cell r="T33" t="str">
            <v>..</v>
          </cell>
        </row>
        <row r="34">
          <cell r="M34" t="str">
            <v>ISR</v>
          </cell>
          <cell r="N34" t="str">
            <v>Israel</v>
          </cell>
          <cell r="O34" t="str">
            <v>Asia</v>
          </cell>
          <cell r="P34" t="str">
            <v>ILS</v>
          </cell>
          <cell r="Q34" t="str">
            <v>OECD</v>
          </cell>
          <cell r="R34">
            <v>16</v>
          </cell>
          <cell r="S34" t="str">
            <v>IL</v>
          </cell>
          <cell r="T34" t="str">
            <v>..</v>
          </cell>
        </row>
        <row r="35">
          <cell r="M35" t="str">
            <v>ITA</v>
          </cell>
          <cell r="N35" t="str">
            <v>Italy</v>
          </cell>
          <cell r="O35" t="str">
            <v>Europe</v>
          </cell>
          <cell r="P35" t="str">
            <v>EUR</v>
          </cell>
          <cell r="Q35" t="str">
            <v>OECD</v>
          </cell>
          <cell r="R35">
            <v>17</v>
          </cell>
          <cell r="S35" t="str">
            <v>IT</v>
          </cell>
          <cell r="T35" t="str">
            <v>ITA</v>
          </cell>
        </row>
        <row r="36">
          <cell r="M36" t="str">
            <v>JPN</v>
          </cell>
          <cell r="N36" t="str">
            <v>Japan</v>
          </cell>
          <cell r="O36" t="str">
            <v>Asia</v>
          </cell>
          <cell r="P36" t="str">
            <v>JPY</v>
          </cell>
          <cell r="Q36" t="str">
            <v>OECD</v>
          </cell>
          <cell r="R36">
            <v>18</v>
          </cell>
          <cell r="S36" t="str">
            <v>JP</v>
          </cell>
          <cell r="T36" t="str">
            <v>..</v>
          </cell>
        </row>
        <row r="37">
          <cell r="M37" t="str">
            <v>KOR</v>
          </cell>
          <cell r="N37" t="str">
            <v>Korea</v>
          </cell>
          <cell r="O37" t="str">
            <v>Asia</v>
          </cell>
          <cell r="P37" t="str">
            <v>KRW</v>
          </cell>
          <cell r="Q37" t="str">
            <v>OECD</v>
          </cell>
          <cell r="R37">
            <v>19</v>
          </cell>
          <cell r="S37" t="str">
            <v>KR</v>
          </cell>
          <cell r="T37" t="str">
            <v>..</v>
          </cell>
        </row>
        <row r="38">
          <cell r="M38" t="str">
            <v>LTU</v>
          </cell>
          <cell r="N38" t="str">
            <v>Lithuania</v>
          </cell>
          <cell r="O38" t="str">
            <v>Europe</v>
          </cell>
          <cell r="P38" t="str">
            <v>EUR</v>
          </cell>
          <cell r="Q38" t="str">
            <v>28EU</v>
          </cell>
          <cell r="R38">
            <v>46</v>
          </cell>
          <cell r="S38" t="str">
            <v>LT</v>
          </cell>
          <cell r="T38" t="str">
            <v>LTU</v>
          </cell>
        </row>
        <row r="39">
          <cell r="M39" t="str">
            <v>LUX</v>
          </cell>
          <cell r="N39" t="str">
            <v>Luxembourg</v>
          </cell>
          <cell r="O39" t="str">
            <v>Europe</v>
          </cell>
          <cell r="P39" t="str">
            <v>EUR</v>
          </cell>
          <cell r="Q39" t="str">
            <v>OECD</v>
          </cell>
          <cell r="R39">
            <v>20</v>
          </cell>
          <cell r="S39" t="str">
            <v>LU</v>
          </cell>
          <cell r="T39" t="str">
            <v>LUX</v>
          </cell>
        </row>
        <row r="40">
          <cell r="M40" t="str">
            <v>LVA</v>
          </cell>
          <cell r="N40" t="str">
            <v>Latvia</v>
          </cell>
          <cell r="O40" t="str">
            <v>Europe</v>
          </cell>
          <cell r="P40" t="str">
            <v>EUR</v>
          </cell>
          <cell r="Q40" t="str">
            <v>OECD</v>
          </cell>
          <cell r="R40">
            <v>45</v>
          </cell>
          <cell r="S40" t="str">
            <v>LV</v>
          </cell>
          <cell r="T40" t="str">
            <v>LVA</v>
          </cell>
        </row>
        <row r="41">
          <cell r="M41" t="str">
            <v>MAC</v>
          </cell>
          <cell r="N41" t="str">
            <v>Special Administrative Region of Macau</v>
          </cell>
          <cell r="O41" t="str">
            <v>Asia</v>
          </cell>
          <cell r="P41" t="str">
            <v>CNY</v>
          </cell>
          <cell r="Q41" t="str">
            <v>NMOC</v>
          </cell>
          <cell r="R41">
            <v>60</v>
          </cell>
          <cell r="S41" t="str">
            <v>MA</v>
          </cell>
          <cell r="T41" t="str">
            <v>..</v>
          </cell>
        </row>
        <row r="42">
          <cell r="M42" t="str">
            <v>MEX</v>
          </cell>
          <cell r="N42" t="str">
            <v>Mexico</v>
          </cell>
          <cell r="O42" t="str">
            <v>NAmerica</v>
          </cell>
          <cell r="P42" t="str">
            <v>MXN</v>
          </cell>
          <cell r="Q42" t="str">
            <v>OECD</v>
          </cell>
          <cell r="R42">
            <v>21</v>
          </cell>
          <cell r="S42" t="str">
            <v>MX</v>
          </cell>
          <cell r="T42" t="str">
            <v>..</v>
          </cell>
        </row>
        <row r="43">
          <cell r="M43" t="str">
            <v>MKD</v>
          </cell>
          <cell r="N43" t="str">
            <v>Macedonia</v>
          </cell>
          <cell r="O43" t="str">
            <v>Europe</v>
          </cell>
          <cell r="P43" t="str">
            <v>MKD</v>
          </cell>
          <cell r="Q43" t="str">
            <v>28EU</v>
          </cell>
          <cell r="R43">
            <v>47</v>
          </cell>
          <cell r="S43" t="str">
            <v>MK</v>
          </cell>
          <cell r="T43" t="str">
            <v>..</v>
          </cell>
        </row>
        <row r="44">
          <cell r="M44" t="str">
            <v>MLT</v>
          </cell>
          <cell r="N44" t="str">
            <v>Malta</v>
          </cell>
          <cell r="O44" t="str">
            <v>Europe</v>
          </cell>
          <cell r="P44" t="str">
            <v>EUR</v>
          </cell>
          <cell r="Q44" t="str">
            <v>28EU</v>
          </cell>
          <cell r="R44">
            <v>48</v>
          </cell>
          <cell r="S44" t="str">
            <v>MT</v>
          </cell>
          <cell r="T44" t="str">
            <v>MLT</v>
          </cell>
        </row>
        <row r="45">
          <cell r="M45" t="str">
            <v>NLD</v>
          </cell>
          <cell r="N45" t="str">
            <v>Netherlands</v>
          </cell>
          <cell r="O45" t="str">
            <v>Europe</v>
          </cell>
          <cell r="P45" t="str">
            <v>EUR</v>
          </cell>
          <cell r="Q45" t="str">
            <v>OECD</v>
          </cell>
          <cell r="R45">
            <v>22</v>
          </cell>
          <cell r="S45" t="str">
            <v>NL</v>
          </cell>
          <cell r="T45" t="str">
            <v>NLD</v>
          </cell>
        </row>
        <row r="46">
          <cell r="M46" t="str">
            <v>NOR</v>
          </cell>
          <cell r="N46" t="str">
            <v>Norway</v>
          </cell>
          <cell r="O46" t="str">
            <v>Europe</v>
          </cell>
          <cell r="P46" t="str">
            <v>NOK</v>
          </cell>
          <cell r="Q46" t="str">
            <v>OECD</v>
          </cell>
          <cell r="R46">
            <v>24</v>
          </cell>
          <cell r="S46" t="str">
            <v>NO</v>
          </cell>
          <cell r="T46" t="str">
            <v>..</v>
          </cell>
        </row>
        <row r="47">
          <cell r="M47" t="str">
            <v>NZL</v>
          </cell>
          <cell r="N47" t="str">
            <v>New Zealand</v>
          </cell>
          <cell r="O47" t="str">
            <v>Oceania</v>
          </cell>
          <cell r="P47" t="str">
            <v>NZD</v>
          </cell>
          <cell r="Q47" t="str">
            <v>OECD</v>
          </cell>
          <cell r="R47">
            <v>23</v>
          </cell>
          <cell r="S47" t="str">
            <v>NZ</v>
          </cell>
          <cell r="T47" t="str">
            <v>..</v>
          </cell>
        </row>
        <row r="48">
          <cell r="M48" t="str">
            <v>OTO</v>
          </cell>
          <cell r="N48" t="str">
            <v>OECD</v>
          </cell>
          <cell r="O48" t="str">
            <v>OECD</v>
          </cell>
          <cell r="P48" t="str">
            <v>USD</v>
          </cell>
          <cell r="Q48" t="str">
            <v>-</v>
          </cell>
          <cell r="R48">
            <v>52</v>
          </cell>
          <cell r="S48" t="str">
            <v xml:space="preserve">- </v>
          </cell>
          <cell r="T48" t="str">
            <v>..</v>
          </cell>
        </row>
        <row r="49">
          <cell r="M49" t="str">
            <v>PER</v>
          </cell>
          <cell r="N49" t="str">
            <v>Peru</v>
          </cell>
          <cell r="O49" t="str">
            <v>SAmerica</v>
          </cell>
          <cell r="P49" t="str">
            <v>PEN</v>
          </cell>
          <cell r="Q49" t="str">
            <v>NOMC</v>
          </cell>
          <cell r="R49">
            <v>53</v>
          </cell>
          <cell r="S49" t="str">
            <v>PE</v>
          </cell>
          <cell r="T49" t="str">
            <v>..</v>
          </cell>
        </row>
        <row r="50">
          <cell r="M50" t="str">
            <v>POL</v>
          </cell>
          <cell r="N50" t="str">
            <v>Poland</v>
          </cell>
          <cell r="O50" t="str">
            <v>Europe</v>
          </cell>
          <cell r="P50" t="str">
            <v>PLN</v>
          </cell>
          <cell r="Q50" t="str">
            <v>OECD</v>
          </cell>
          <cell r="R50">
            <v>25</v>
          </cell>
          <cell r="S50" t="str">
            <v>PL</v>
          </cell>
          <cell r="T50" t="str">
            <v>POL</v>
          </cell>
        </row>
        <row r="51">
          <cell r="M51" t="str">
            <v>PRT</v>
          </cell>
          <cell r="N51" t="str">
            <v>Portugal</v>
          </cell>
          <cell r="O51" t="str">
            <v>Europe</v>
          </cell>
          <cell r="P51" t="str">
            <v>EUR</v>
          </cell>
          <cell r="Q51" t="str">
            <v>OECD</v>
          </cell>
          <cell r="R51">
            <v>26</v>
          </cell>
          <cell r="S51" t="str">
            <v>PT</v>
          </cell>
          <cell r="T51" t="str">
            <v>PRT</v>
          </cell>
        </row>
        <row r="52">
          <cell r="M52" t="str">
            <v>ROU</v>
          </cell>
          <cell r="N52" t="str">
            <v>Romania</v>
          </cell>
          <cell r="O52" t="str">
            <v>Europe</v>
          </cell>
          <cell r="P52" t="str">
            <v>RON</v>
          </cell>
          <cell r="Q52" t="str">
            <v>28EU</v>
          </cell>
          <cell r="R52">
            <v>49</v>
          </cell>
          <cell r="S52" t="str">
            <v>RO</v>
          </cell>
          <cell r="T52" t="str">
            <v>ROU</v>
          </cell>
        </row>
        <row r="53">
          <cell r="M53" t="str">
            <v>RUS</v>
          </cell>
          <cell r="N53" t="str">
            <v>Russian Federation</v>
          </cell>
          <cell r="O53" t="str">
            <v>Asia</v>
          </cell>
          <cell r="P53" t="str">
            <v>RUB</v>
          </cell>
          <cell r="Q53" t="str">
            <v>NOMC</v>
          </cell>
          <cell r="R53">
            <v>36</v>
          </cell>
          <cell r="S53" t="str">
            <v>RU</v>
          </cell>
          <cell r="T53" t="str">
            <v>..</v>
          </cell>
        </row>
        <row r="54">
          <cell r="M54" t="str">
            <v>SVK</v>
          </cell>
          <cell r="N54" t="str">
            <v>Slovak Republic</v>
          </cell>
          <cell r="O54" t="str">
            <v>Europe</v>
          </cell>
          <cell r="P54" t="str">
            <v>SKK</v>
          </cell>
          <cell r="Q54" t="str">
            <v>OECD</v>
          </cell>
          <cell r="R54">
            <v>27</v>
          </cell>
          <cell r="S54" t="str">
            <v>SK</v>
          </cell>
          <cell r="T54" t="str">
            <v>SVK</v>
          </cell>
        </row>
        <row r="55">
          <cell r="M55" t="str">
            <v>SVN</v>
          </cell>
          <cell r="N55" t="str">
            <v>Slovenia</v>
          </cell>
          <cell r="O55" t="str">
            <v>Europe</v>
          </cell>
          <cell r="P55" t="str">
            <v>EUR</v>
          </cell>
          <cell r="Q55" t="str">
            <v>OECD</v>
          </cell>
          <cell r="R55">
            <v>28</v>
          </cell>
          <cell r="S55" t="str">
            <v>SI</v>
          </cell>
          <cell r="T55" t="str">
            <v>SVN</v>
          </cell>
        </row>
        <row r="56">
          <cell r="M56" t="str">
            <v>SWE</v>
          </cell>
          <cell r="N56" t="str">
            <v>Sweden</v>
          </cell>
          <cell r="O56" t="str">
            <v>Europe</v>
          </cell>
          <cell r="P56" t="str">
            <v>SEK</v>
          </cell>
          <cell r="Q56" t="str">
            <v>OECD</v>
          </cell>
          <cell r="R56">
            <v>30</v>
          </cell>
          <cell r="S56" t="str">
            <v>SE</v>
          </cell>
          <cell r="T56" t="str">
            <v>SWE</v>
          </cell>
        </row>
        <row r="57">
          <cell r="M57" t="str">
            <v>TUN</v>
          </cell>
          <cell r="N57" t="str">
            <v>Tunisia</v>
          </cell>
          <cell r="O57" t="str">
            <v>Africa</v>
          </cell>
          <cell r="P57" t="str">
            <v>TND</v>
          </cell>
          <cell r="Q57" t="str">
            <v>NMOC</v>
          </cell>
          <cell r="R57">
            <v>58</v>
          </cell>
          <cell r="S57" t="str">
            <v>TN</v>
          </cell>
          <cell r="T57" t="str">
            <v>..</v>
          </cell>
        </row>
        <row r="58">
          <cell r="M58" t="str">
            <v>TUR</v>
          </cell>
          <cell r="N58" t="str">
            <v>Turkey</v>
          </cell>
          <cell r="O58" t="str">
            <v>Asia</v>
          </cell>
          <cell r="P58" t="str">
            <v>TRY</v>
          </cell>
          <cell r="Q58" t="str">
            <v>OECD</v>
          </cell>
          <cell r="R58">
            <v>32</v>
          </cell>
          <cell r="S58" t="str">
            <v>TR</v>
          </cell>
          <cell r="T58" t="str">
            <v>..</v>
          </cell>
        </row>
        <row r="59">
          <cell r="M59" t="str">
            <v>TWN</v>
          </cell>
          <cell r="N59" t="str">
            <v>Chinese Taipei</v>
          </cell>
          <cell r="O59" t="str">
            <v>Asia</v>
          </cell>
          <cell r="P59" t="str">
            <v>CNY</v>
          </cell>
          <cell r="Q59" t="str">
            <v>NMOC</v>
          </cell>
          <cell r="R59">
            <v>61</v>
          </cell>
          <cell r="S59" t="str">
            <v>TW</v>
          </cell>
          <cell r="T59" t="str">
            <v>..</v>
          </cell>
        </row>
        <row r="60">
          <cell r="M60" t="str">
            <v>USA</v>
          </cell>
          <cell r="N60" t="str">
            <v>United States</v>
          </cell>
          <cell r="O60" t="str">
            <v>NAmerica</v>
          </cell>
          <cell r="P60" t="str">
            <v>USD</v>
          </cell>
          <cell r="Q60" t="str">
            <v>OECD</v>
          </cell>
          <cell r="R60">
            <v>34</v>
          </cell>
          <cell r="S60" t="str">
            <v>US</v>
          </cell>
          <cell r="T60" t="str">
            <v>..</v>
          </cell>
        </row>
        <row r="61">
          <cell r="M61" t="str">
            <v>ZAF</v>
          </cell>
          <cell r="N61" t="str">
            <v>South Africa</v>
          </cell>
          <cell r="O61" t="str">
            <v>Africa</v>
          </cell>
          <cell r="P61" t="str">
            <v>ZAR</v>
          </cell>
          <cell r="Q61" t="str">
            <v>NOMC</v>
          </cell>
          <cell r="R61">
            <v>40</v>
          </cell>
          <cell r="S61" t="str">
            <v>ZA</v>
          </cell>
          <cell r="T6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customProperty" Target="../customProperty6.bin"/><Relationship Id="rId13" Type="http://schemas.openxmlformats.org/officeDocument/2006/relationships/customProperty" Target="../customProperty11.bin"/><Relationship Id="rId3" Type="http://schemas.openxmlformats.org/officeDocument/2006/relationships/customProperty" Target="../customProperty1.bin"/><Relationship Id="rId7" Type="http://schemas.openxmlformats.org/officeDocument/2006/relationships/customProperty" Target="../customProperty5.bin"/><Relationship Id="rId12" Type="http://schemas.openxmlformats.org/officeDocument/2006/relationships/customProperty" Target="../customProperty10.bin"/><Relationship Id="rId2" Type="http://schemas.openxmlformats.org/officeDocument/2006/relationships/printerSettings" Target="../printerSettings/printerSettings1.bin"/><Relationship Id="rId16" Type="http://schemas.openxmlformats.org/officeDocument/2006/relationships/drawing" Target="../drawings/drawing1.xml"/><Relationship Id="rId1" Type="http://schemas.openxmlformats.org/officeDocument/2006/relationships/hyperlink" Target="disclaimer:%20http://oe.cd/disclaimer" TargetMode="External"/><Relationship Id="rId6" Type="http://schemas.openxmlformats.org/officeDocument/2006/relationships/customProperty" Target="../customProperty4.bin"/><Relationship Id="rId11" Type="http://schemas.openxmlformats.org/officeDocument/2006/relationships/customProperty" Target="../customProperty9.bin"/><Relationship Id="rId5" Type="http://schemas.openxmlformats.org/officeDocument/2006/relationships/customProperty" Target="../customProperty3.bin"/><Relationship Id="rId15" Type="http://schemas.openxmlformats.org/officeDocument/2006/relationships/customProperty" Target="../customProperty13.bin"/><Relationship Id="rId10" Type="http://schemas.openxmlformats.org/officeDocument/2006/relationships/customProperty" Target="../customProperty8.bin"/><Relationship Id="rId4" Type="http://schemas.openxmlformats.org/officeDocument/2006/relationships/customProperty" Target="../customProperty2.bin"/><Relationship Id="rId9" Type="http://schemas.openxmlformats.org/officeDocument/2006/relationships/customProperty" Target="../customProperty7.bin"/><Relationship Id="rId14" Type="http://schemas.openxmlformats.org/officeDocument/2006/relationships/customProperty" Target="../customProperty12.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19.bin"/><Relationship Id="rId13" Type="http://schemas.openxmlformats.org/officeDocument/2006/relationships/customProperty" Target="../customProperty24.bin"/><Relationship Id="rId3" Type="http://schemas.openxmlformats.org/officeDocument/2006/relationships/customProperty" Target="../customProperty14.bin"/><Relationship Id="rId7" Type="http://schemas.openxmlformats.org/officeDocument/2006/relationships/customProperty" Target="../customProperty18.bin"/><Relationship Id="rId12" Type="http://schemas.openxmlformats.org/officeDocument/2006/relationships/customProperty" Target="../customProperty23.bin"/><Relationship Id="rId2" Type="http://schemas.openxmlformats.org/officeDocument/2006/relationships/printerSettings" Target="../printerSettings/printerSettings2.bin"/><Relationship Id="rId16" Type="http://schemas.openxmlformats.org/officeDocument/2006/relationships/drawing" Target="../drawings/drawing2.xml"/><Relationship Id="rId1" Type="http://schemas.openxmlformats.org/officeDocument/2006/relationships/hyperlink" Target="disclaimer:%20http://oe.cd/disclaimer" TargetMode="External"/><Relationship Id="rId6" Type="http://schemas.openxmlformats.org/officeDocument/2006/relationships/customProperty" Target="../customProperty17.bin"/><Relationship Id="rId11" Type="http://schemas.openxmlformats.org/officeDocument/2006/relationships/customProperty" Target="../customProperty22.bin"/><Relationship Id="rId5" Type="http://schemas.openxmlformats.org/officeDocument/2006/relationships/customProperty" Target="../customProperty16.bin"/><Relationship Id="rId15" Type="http://schemas.openxmlformats.org/officeDocument/2006/relationships/customProperty" Target="../customProperty26.bin"/><Relationship Id="rId10" Type="http://schemas.openxmlformats.org/officeDocument/2006/relationships/customProperty" Target="../customProperty21.bin"/><Relationship Id="rId4" Type="http://schemas.openxmlformats.org/officeDocument/2006/relationships/customProperty" Target="../customProperty15.bin"/><Relationship Id="rId9" Type="http://schemas.openxmlformats.org/officeDocument/2006/relationships/customProperty" Target="../customProperty20.bin"/><Relationship Id="rId14" Type="http://schemas.openxmlformats.org/officeDocument/2006/relationships/customProperty" Target="../customProperty25.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3.bin"/><Relationship Id="rId1" Type="http://schemas.openxmlformats.org/officeDocument/2006/relationships/hyperlink" Target="disclaimer:%20http://oe.c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4.bin"/><Relationship Id="rId1" Type="http://schemas.openxmlformats.org/officeDocument/2006/relationships/hyperlink" Target="disclaimer:%20http://oe.c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5.bin"/><Relationship Id="rId1" Type="http://schemas.openxmlformats.org/officeDocument/2006/relationships/hyperlink" Target="disclaimer:%20http://oe.cd/disclaimer" TargetMode="External"/></Relationships>
</file>

<file path=xl/worksheets/_rels/sheet6.xml.rels><?xml version="1.0" encoding="UTF-8" standalone="yes"?>
<Relationships xmlns="http://schemas.openxmlformats.org/package/2006/relationships"><Relationship Id="rId8" Type="http://schemas.openxmlformats.org/officeDocument/2006/relationships/customProperty" Target="../customProperty32.bin"/><Relationship Id="rId13" Type="http://schemas.openxmlformats.org/officeDocument/2006/relationships/customProperty" Target="../customProperty37.bin"/><Relationship Id="rId3" Type="http://schemas.openxmlformats.org/officeDocument/2006/relationships/customProperty" Target="../customProperty27.bin"/><Relationship Id="rId7" Type="http://schemas.openxmlformats.org/officeDocument/2006/relationships/customProperty" Target="../customProperty31.bin"/><Relationship Id="rId12" Type="http://schemas.openxmlformats.org/officeDocument/2006/relationships/customProperty" Target="../customProperty36.bin"/><Relationship Id="rId2" Type="http://schemas.openxmlformats.org/officeDocument/2006/relationships/printerSettings" Target="../printerSettings/printerSettings6.bin"/><Relationship Id="rId16" Type="http://schemas.openxmlformats.org/officeDocument/2006/relationships/drawing" Target="../drawings/drawing12.xml"/><Relationship Id="rId1" Type="http://schemas.openxmlformats.org/officeDocument/2006/relationships/hyperlink" Target="disclaimer:%20http://oe.cd/disclaimer" TargetMode="External"/><Relationship Id="rId6" Type="http://schemas.openxmlformats.org/officeDocument/2006/relationships/customProperty" Target="../customProperty30.bin"/><Relationship Id="rId11" Type="http://schemas.openxmlformats.org/officeDocument/2006/relationships/customProperty" Target="../customProperty35.bin"/><Relationship Id="rId5" Type="http://schemas.openxmlformats.org/officeDocument/2006/relationships/customProperty" Target="../customProperty29.bin"/><Relationship Id="rId15" Type="http://schemas.openxmlformats.org/officeDocument/2006/relationships/customProperty" Target="../customProperty39.bin"/><Relationship Id="rId10" Type="http://schemas.openxmlformats.org/officeDocument/2006/relationships/customProperty" Target="../customProperty34.bin"/><Relationship Id="rId4" Type="http://schemas.openxmlformats.org/officeDocument/2006/relationships/customProperty" Target="../customProperty28.bin"/><Relationship Id="rId9" Type="http://schemas.openxmlformats.org/officeDocument/2006/relationships/customProperty" Target="../customProperty33.bin"/><Relationship Id="rId14" Type="http://schemas.openxmlformats.org/officeDocument/2006/relationships/customProperty" Target="../customProperty38.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D1134-06F1-42FD-9964-5BE0B626740B}">
  <dimension ref="A1:EH38"/>
  <sheetViews>
    <sheetView tabSelected="1" zoomScaleNormal="100" workbookViewId="0">
      <selection sqref="A1:J2"/>
    </sheetView>
  </sheetViews>
  <sheetFormatPr defaultRowHeight="15" x14ac:dyDescent="0.25"/>
  <cols>
    <col min="1" max="9" width="8.7109375" style="5"/>
    <col min="10" max="10" width="11.5703125" style="5" customWidth="1"/>
    <col min="11" max="11" width="8.7109375" style="5"/>
    <col min="12" max="12" width="13.140625" style="5" customWidth="1"/>
    <col min="13" max="13" width="40.5703125" style="5" customWidth="1"/>
    <col min="14" max="138" width="8.7109375" style="5"/>
  </cols>
  <sheetData>
    <row r="1" spans="1:17" ht="20.100000000000001" customHeight="1" x14ac:dyDescent="0.3">
      <c r="A1" s="99" t="s">
        <v>105</v>
      </c>
      <c r="B1" s="99"/>
      <c r="C1" s="99"/>
      <c r="D1" s="99"/>
      <c r="E1" s="99"/>
      <c r="F1" s="99"/>
      <c r="G1" s="99"/>
      <c r="H1" s="99"/>
      <c r="I1" s="99"/>
      <c r="J1" s="99"/>
      <c r="L1" s="10"/>
      <c r="M1" s="95" t="s">
        <v>64</v>
      </c>
    </row>
    <row r="2" spans="1:17" ht="14.45" customHeight="1" x14ac:dyDescent="0.3">
      <c r="A2" s="99"/>
      <c r="B2" s="99"/>
      <c r="C2" s="99"/>
      <c r="D2" s="99"/>
      <c r="E2" s="99"/>
      <c r="F2" s="99"/>
      <c r="G2" s="99"/>
      <c r="H2" s="99"/>
      <c r="I2" s="99"/>
      <c r="J2" s="99"/>
      <c r="L2" s="11"/>
      <c r="M2" s="96"/>
    </row>
    <row r="3" spans="1:17" ht="13.5" customHeight="1" x14ac:dyDescent="0.3">
      <c r="A3" s="98" t="s">
        <v>100</v>
      </c>
      <c r="B3" s="98"/>
      <c r="C3" s="98"/>
      <c r="D3" s="98"/>
      <c r="E3" s="98"/>
      <c r="F3" s="98"/>
      <c r="G3" s="98"/>
      <c r="H3" s="98"/>
      <c r="I3" s="98"/>
      <c r="J3" s="98"/>
      <c r="L3" s="9" t="s">
        <v>39</v>
      </c>
      <c r="M3" s="19">
        <v>0.73901885747909546</v>
      </c>
      <c r="Q3" s="65"/>
    </row>
    <row r="4" spans="1:17" ht="16.5" x14ac:dyDescent="0.3">
      <c r="A4" s="98"/>
      <c r="B4" s="98"/>
      <c r="C4" s="98"/>
      <c r="D4" s="98"/>
      <c r="E4" s="98"/>
      <c r="F4" s="98"/>
      <c r="G4" s="98"/>
      <c r="H4" s="98"/>
      <c r="I4" s="98"/>
      <c r="J4" s="98"/>
      <c r="L4" s="8" t="s">
        <v>37</v>
      </c>
      <c r="M4" s="20">
        <v>0.73676937818527222</v>
      </c>
      <c r="Q4" s="65"/>
    </row>
    <row r="5" spans="1:17" ht="16.5" x14ac:dyDescent="0.3">
      <c r="A5" s="98"/>
      <c r="B5" s="98"/>
      <c r="C5" s="98"/>
      <c r="D5" s="98"/>
      <c r="E5" s="98"/>
      <c r="F5" s="98"/>
      <c r="G5" s="98"/>
      <c r="H5" s="98"/>
      <c r="I5" s="98"/>
      <c r="J5" s="98"/>
      <c r="L5" s="9" t="s">
        <v>40</v>
      </c>
      <c r="M5" s="19">
        <v>0.67195045948028564</v>
      </c>
      <c r="Q5" s="65"/>
    </row>
    <row r="6" spans="1:17" ht="16.5" x14ac:dyDescent="0.3">
      <c r="A6" s="7"/>
      <c r="B6" s="7"/>
      <c r="C6" s="7"/>
      <c r="D6" s="7"/>
      <c r="E6" s="7"/>
      <c r="F6" s="7"/>
      <c r="G6" s="7"/>
      <c r="H6" s="7"/>
      <c r="I6" s="7"/>
      <c r="L6" s="8" t="s">
        <v>38</v>
      </c>
      <c r="M6" s="20">
        <v>0.64699745178222656</v>
      </c>
      <c r="Q6" s="65"/>
    </row>
    <row r="7" spans="1:17" ht="16.5" x14ac:dyDescent="0.3">
      <c r="A7" s="7"/>
      <c r="B7" s="7"/>
      <c r="C7" s="7"/>
      <c r="D7" s="7"/>
      <c r="E7" s="7"/>
      <c r="F7" s="7"/>
      <c r="G7" s="7"/>
      <c r="H7" s="7"/>
      <c r="I7" s="7"/>
      <c r="L7" s="9" t="s">
        <v>63</v>
      </c>
      <c r="M7" s="19">
        <v>0.61959993839263916</v>
      </c>
      <c r="Q7" s="65"/>
    </row>
    <row r="8" spans="1:17" ht="16.5" x14ac:dyDescent="0.3">
      <c r="A8" s="7"/>
      <c r="B8" s="7"/>
      <c r="C8" s="7"/>
      <c r="D8" s="7"/>
      <c r="E8" s="7"/>
      <c r="F8" s="7"/>
      <c r="G8" s="7"/>
      <c r="H8" s="7"/>
      <c r="I8" s="7"/>
      <c r="L8" s="8" t="s">
        <v>41</v>
      </c>
      <c r="M8" s="20">
        <v>0.56934976577758789</v>
      </c>
      <c r="Q8" s="65"/>
    </row>
    <row r="9" spans="1:17" ht="16.5" x14ac:dyDescent="0.3">
      <c r="A9" s="7"/>
      <c r="B9" s="7"/>
      <c r="C9" s="7"/>
      <c r="D9" s="7"/>
      <c r="E9" s="7"/>
      <c r="F9" s="7"/>
      <c r="G9" s="7"/>
      <c r="H9" s="7"/>
      <c r="I9" s="7"/>
      <c r="L9" s="9" t="s">
        <v>42</v>
      </c>
      <c r="M9" s="19">
        <v>0.56906545162200928</v>
      </c>
      <c r="Q9" s="65"/>
    </row>
    <row r="10" spans="1:17" ht="16.5" x14ac:dyDescent="0.3">
      <c r="A10" s="7"/>
      <c r="B10" s="7"/>
      <c r="C10" s="7"/>
      <c r="D10" s="7"/>
      <c r="E10" s="7"/>
      <c r="F10" s="7"/>
      <c r="G10" s="7"/>
      <c r="H10" s="7"/>
      <c r="I10" s="7"/>
      <c r="L10" s="8" t="s">
        <v>52</v>
      </c>
      <c r="M10" s="20">
        <v>0.48881924152374268</v>
      </c>
      <c r="Q10" s="65"/>
    </row>
    <row r="11" spans="1:17" ht="16.5" x14ac:dyDescent="0.3">
      <c r="A11" s="7"/>
      <c r="B11" s="7"/>
      <c r="C11" s="7"/>
      <c r="D11" s="7"/>
      <c r="E11" s="7"/>
      <c r="F11" s="7"/>
      <c r="G11" s="7"/>
      <c r="H11" s="7"/>
      <c r="I11" s="7"/>
      <c r="L11" s="9" t="s">
        <v>50</v>
      </c>
      <c r="M11" s="19">
        <v>0.47782447934150696</v>
      </c>
      <c r="Q11" s="65"/>
    </row>
    <row r="12" spans="1:17" ht="16.5" x14ac:dyDescent="0.3">
      <c r="A12" s="7"/>
      <c r="B12" s="7"/>
      <c r="C12" s="7"/>
      <c r="D12" s="7"/>
      <c r="E12" s="7"/>
      <c r="F12" s="7"/>
      <c r="G12" s="7"/>
      <c r="H12" s="7"/>
      <c r="I12" s="7"/>
      <c r="L12" s="39" t="s">
        <v>65</v>
      </c>
      <c r="M12" s="40">
        <v>0.4776134667573152</v>
      </c>
      <c r="Q12" s="65"/>
    </row>
    <row r="13" spans="1:17" ht="16.5" x14ac:dyDescent="0.3">
      <c r="A13" s="7"/>
      <c r="B13" s="7"/>
      <c r="C13" s="7"/>
      <c r="D13" s="7"/>
      <c r="E13" s="7"/>
      <c r="F13" s="7"/>
      <c r="G13" s="7"/>
      <c r="H13" s="7"/>
      <c r="I13" s="7"/>
      <c r="L13" s="9" t="s">
        <v>45</v>
      </c>
      <c r="M13" s="19">
        <v>0.47470614314079285</v>
      </c>
      <c r="Q13" s="65"/>
    </row>
    <row r="14" spans="1:17" ht="16.5" x14ac:dyDescent="0.3">
      <c r="A14" s="7"/>
      <c r="B14" s="7"/>
      <c r="C14" s="7"/>
      <c r="D14" s="7"/>
      <c r="E14" s="7"/>
      <c r="F14" s="7"/>
      <c r="G14" s="7"/>
      <c r="H14" s="7"/>
      <c r="I14" s="7"/>
      <c r="L14" s="8" t="s">
        <v>46</v>
      </c>
      <c r="M14" s="20">
        <v>0.46980571746826172</v>
      </c>
      <c r="Q14" s="65"/>
    </row>
    <row r="15" spans="1:17" ht="16.5" x14ac:dyDescent="0.3">
      <c r="A15" s="7"/>
      <c r="B15" s="7"/>
      <c r="C15" s="7"/>
      <c r="D15" s="7"/>
      <c r="E15" s="7"/>
      <c r="F15" s="7"/>
      <c r="G15" s="7"/>
      <c r="H15" s="7"/>
      <c r="I15" s="7"/>
      <c r="L15" s="9" t="s">
        <v>53</v>
      </c>
      <c r="M15" s="19">
        <v>0.4621080756187439</v>
      </c>
      <c r="Q15" s="65"/>
    </row>
    <row r="16" spans="1:17" ht="16.5" x14ac:dyDescent="0.3">
      <c r="A16" s="7"/>
      <c r="B16" s="7"/>
      <c r="C16" s="7"/>
      <c r="D16" s="7"/>
      <c r="E16" s="7"/>
      <c r="F16" s="7"/>
      <c r="G16" s="7"/>
      <c r="H16" s="7"/>
      <c r="I16" s="7"/>
      <c r="L16" s="8" t="s">
        <v>44</v>
      </c>
      <c r="M16" s="20">
        <v>0.45898383855819702</v>
      </c>
      <c r="Q16" s="65"/>
    </row>
    <row r="17" spans="1:17" ht="16.5" x14ac:dyDescent="0.3">
      <c r="A17" s="7"/>
      <c r="B17" s="7"/>
      <c r="C17" s="7"/>
      <c r="D17" s="7"/>
      <c r="E17" s="7"/>
      <c r="F17" s="7"/>
      <c r="G17" s="7"/>
      <c r="H17" s="7"/>
      <c r="I17" s="7"/>
      <c r="L17" s="9" t="s">
        <v>51</v>
      </c>
      <c r="M17" s="19">
        <v>0.45166483521461487</v>
      </c>
      <c r="Q17" s="65"/>
    </row>
    <row r="18" spans="1:17" ht="16.5" x14ac:dyDescent="0.3">
      <c r="A18" s="7"/>
      <c r="B18" s="7"/>
      <c r="C18" s="7"/>
      <c r="D18" s="7"/>
      <c r="E18" s="7"/>
      <c r="F18" s="7"/>
      <c r="G18" s="7"/>
      <c r="H18" s="7"/>
      <c r="I18" s="7"/>
      <c r="L18" s="8" t="s">
        <v>47</v>
      </c>
      <c r="M18" s="20">
        <v>0.44723397493362427</v>
      </c>
      <c r="Q18" s="65"/>
    </row>
    <row r="19" spans="1:17" ht="16.5" x14ac:dyDescent="0.3">
      <c r="B19" s="7"/>
      <c r="C19" s="7"/>
      <c r="D19" s="7"/>
      <c r="E19" s="7"/>
      <c r="F19" s="7"/>
      <c r="G19" s="7"/>
      <c r="H19" s="7"/>
      <c r="I19" s="7"/>
      <c r="L19" s="9" t="s">
        <v>54</v>
      </c>
      <c r="M19" s="19">
        <v>0.4439195990562439</v>
      </c>
      <c r="Q19" s="65"/>
    </row>
    <row r="20" spans="1:17" ht="16.5" x14ac:dyDescent="0.3">
      <c r="B20" s="7"/>
      <c r="C20" s="7"/>
      <c r="D20" s="7"/>
      <c r="E20" s="7"/>
      <c r="F20" s="7"/>
      <c r="G20" s="7"/>
      <c r="H20" s="7"/>
      <c r="I20" s="7"/>
      <c r="L20" s="8" t="s">
        <v>56</v>
      </c>
      <c r="M20" s="20">
        <v>0.44080153107643127</v>
      </c>
      <c r="Q20" s="65"/>
    </row>
    <row r="21" spans="1:17" ht="14.45" customHeight="1" x14ac:dyDescent="0.3">
      <c r="A21" s="100" t="s">
        <v>66</v>
      </c>
      <c r="B21" s="100"/>
      <c r="C21" s="100"/>
      <c r="D21" s="100"/>
      <c r="E21" s="100"/>
      <c r="F21" s="100"/>
      <c r="G21" s="100"/>
      <c r="H21" s="100"/>
      <c r="I21" s="100"/>
      <c r="J21" s="100"/>
      <c r="L21" s="9" t="s">
        <v>60</v>
      </c>
      <c r="M21" s="19">
        <v>0.43060716986656189</v>
      </c>
      <c r="Q21" s="65"/>
    </row>
    <row r="22" spans="1:17" ht="16.5" x14ac:dyDescent="0.3">
      <c r="A22" s="100"/>
      <c r="B22" s="100"/>
      <c r="C22" s="100"/>
      <c r="D22" s="100"/>
      <c r="E22" s="100"/>
      <c r="F22" s="100"/>
      <c r="G22" s="100"/>
      <c r="H22" s="100"/>
      <c r="I22" s="100"/>
      <c r="J22" s="100"/>
      <c r="L22" s="8" t="s">
        <v>43</v>
      </c>
      <c r="M22" s="20">
        <v>0.4258439838886261</v>
      </c>
      <c r="Q22" s="65"/>
    </row>
    <row r="23" spans="1:17" ht="16.5" customHeight="1" x14ac:dyDescent="0.3">
      <c r="A23" s="97" t="s">
        <v>112</v>
      </c>
      <c r="B23" s="97"/>
      <c r="C23" s="97"/>
      <c r="D23" s="97"/>
      <c r="E23" s="97"/>
      <c r="F23" s="97"/>
      <c r="G23" s="97"/>
      <c r="H23" s="97"/>
      <c r="I23" s="97"/>
      <c r="J23" s="97"/>
      <c r="L23" s="9" t="s">
        <v>48</v>
      </c>
      <c r="M23" s="19">
        <v>0.40811815857887268</v>
      </c>
      <c r="Q23" s="65"/>
    </row>
    <row r="24" spans="1:17" ht="14.45" customHeight="1" x14ac:dyDescent="0.3">
      <c r="A24" s="97"/>
      <c r="B24" s="97"/>
      <c r="C24" s="97"/>
      <c r="D24" s="97"/>
      <c r="E24" s="97"/>
      <c r="F24" s="97"/>
      <c r="G24" s="97"/>
      <c r="H24" s="97"/>
      <c r="I24" s="97"/>
      <c r="J24" s="97"/>
      <c r="L24" s="8" t="s">
        <v>55</v>
      </c>
      <c r="M24" s="20">
        <v>0.40486249327659607</v>
      </c>
      <c r="Q24" s="65"/>
    </row>
    <row r="25" spans="1:17" ht="16.5" customHeight="1" x14ac:dyDescent="0.3">
      <c r="A25" s="97" t="s">
        <v>94</v>
      </c>
      <c r="B25" s="97"/>
      <c r="C25" s="97"/>
      <c r="D25" s="97"/>
      <c r="E25" s="97"/>
      <c r="F25" s="97"/>
      <c r="G25" s="97"/>
      <c r="H25" s="97"/>
      <c r="I25" s="97"/>
      <c r="J25" s="97"/>
      <c r="L25" s="9" t="s">
        <v>62</v>
      </c>
      <c r="M25" s="19">
        <v>0.39699912071228027</v>
      </c>
      <c r="Q25" s="65"/>
    </row>
    <row r="26" spans="1:17" ht="16.5" x14ac:dyDescent="0.3">
      <c r="A26" s="97"/>
      <c r="B26" s="97"/>
      <c r="C26" s="97"/>
      <c r="D26" s="97"/>
      <c r="E26" s="97"/>
      <c r="F26" s="97"/>
      <c r="G26" s="97"/>
      <c r="H26" s="97"/>
      <c r="I26" s="97"/>
      <c r="J26" s="97"/>
      <c r="L26" s="8" t="s">
        <v>59</v>
      </c>
      <c r="M26" s="20">
        <v>0.38186761736869812</v>
      </c>
      <c r="Q26" s="65"/>
    </row>
    <row r="27" spans="1:17" ht="16.5" x14ac:dyDescent="0.3">
      <c r="A27" s="97"/>
      <c r="B27" s="97"/>
      <c r="C27" s="97"/>
      <c r="D27" s="97"/>
      <c r="E27" s="97"/>
      <c r="F27" s="97"/>
      <c r="G27" s="97"/>
      <c r="H27" s="97"/>
      <c r="I27" s="97"/>
      <c r="J27" s="97"/>
      <c r="L27" s="9" t="s">
        <v>58</v>
      </c>
      <c r="M27" s="19">
        <v>0.37944602966308594</v>
      </c>
      <c r="Q27" s="65"/>
    </row>
    <row r="28" spans="1:17" ht="16.5" x14ac:dyDescent="0.3">
      <c r="A28" s="16"/>
      <c r="B28" s="16"/>
      <c r="C28" s="16"/>
      <c r="D28" s="16"/>
      <c r="E28" s="16"/>
      <c r="F28" s="16"/>
      <c r="G28" s="16"/>
      <c r="H28" s="16"/>
      <c r="I28" s="16"/>
      <c r="J28" s="16"/>
      <c r="L28" s="8" t="s">
        <v>49</v>
      </c>
      <c r="M28" s="20">
        <v>0.34697240591049194</v>
      </c>
      <c r="Q28" s="65"/>
    </row>
    <row r="29" spans="1:17" ht="16.5" x14ac:dyDescent="0.3">
      <c r="A29" s="78" t="s">
        <v>84</v>
      </c>
      <c r="B29" s="79"/>
      <c r="C29" s="79"/>
      <c r="D29" s="79"/>
      <c r="E29" s="79"/>
      <c r="F29" s="79"/>
      <c r="G29" s="79"/>
      <c r="H29" s="79"/>
      <c r="I29" s="79"/>
      <c r="J29" s="79"/>
      <c r="L29" s="9" t="s">
        <v>57</v>
      </c>
      <c r="M29" s="19">
        <v>0.27991014719009399</v>
      </c>
      <c r="Q29" s="65"/>
    </row>
    <row r="30" spans="1:17" ht="16.5" customHeight="1" x14ac:dyDescent="0.3">
      <c r="A30" s="80"/>
      <c r="B30" s="80"/>
      <c r="C30" s="80"/>
      <c r="D30" s="80"/>
      <c r="E30" s="80"/>
      <c r="F30" s="80"/>
      <c r="G30" s="80"/>
      <c r="H30" s="80"/>
      <c r="I30" s="80"/>
      <c r="J30" s="80"/>
      <c r="L30" s="11" t="s">
        <v>61</v>
      </c>
      <c r="M30" s="21">
        <v>0.27231773734092712</v>
      </c>
      <c r="Q30" s="65"/>
    </row>
    <row r="31" spans="1:17" x14ac:dyDescent="0.25">
      <c r="A31" s="81" t="s">
        <v>101</v>
      </c>
      <c r="B31" s="81"/>
      <c r="C31" s="81"/>
      <c r="D31" s="81"/>
      <c r="E31" s="81"/>
      <c r="F31" s="81"/>
      <c r="G31" s="81"/>
      <c r="H31" s="81"/>
      <c r="I31" s="81"/>
      <c r="J31" s="81"/>
    </row>
    <row r="32" spans="1:17" x14ac:dyDescent="0.25">
      <c r="A32" s="81"/>
      <c r="B32" s="81"/>
      <c r="C32" s="81"/>
      <c r="D32" s="81"/>
      <c r="E32" s="81"/>
      <c r="F32" s="81"/>
      <c r="G32" s="81"/>
      <c r="H32" s="81"/>
      <c r="I32" s="81"/>
      <c r="J32" s="81"/>
    </row>
    <row r="33" spans="1:10" x14ac:dyDescent="0.25">
      <c r="A33" s="81"/>
      <c r="B33" s="81"/>
      <c r="C33" s="81"/>
      <c r="D33" s="81"/>
      <c r="E33" s="81"/>
      <c r="F33" s="81"/>
      <c r="G33" s="81"/>
      <c r="H33" s="81"/>
      <c r="I33" s="81"/>
      <c r="J33" s="81"/>
    </row>
    <row r="34" spans="1:10" x14ac:dyDescent="0.25">
      <c r="A34" s="80"/>
      <c r="B34" s="80"/>
      <c r="C34" s="80"/>
      <c r="D34" s="80"/>
      <c r="E34" s="80"/>
      <c r="F34" s="80"/>
      <c r="G34" s="80"/>
      <c r="H34" s="80"/>
      <c r="I34" s="80"/>
      <c r="J34" s="81"/>
    </row>
    <row r="35" spans="1:10" x14ac:dyDescent="0.25">
      <c r="A35" s="77"/>
      <c r="B35" s="77"/>
      <c r="C35" s="77"/>
      <c r="D35" s="77"/>
      <c r="E35" s="77"/>
      <c r="F35" s="77"/>
      <c r="G35" s="77"/>
      <c r="H35" s="77"/>
      <c r="I35" s="77"/>
      <c r="J35" s="85"/>
    </row>
    <row r="36" spans="1:10" x14ac:dyDescent="0.25">
      <c r="A36" s="77"/>
      <c r="B36" s="77"/>
      <c r="C36" s="77"/>
      <c r="D36" s="77"/>
      <c r="E36" s="77"/>
      <c r="F36" s="77"/>
      <c r="G36" s="77"/>
      <c r="H36" s="77"/>
      <c r="I36" s="77"/>
      <c r="J36" s="85"/>
    </row>
    <row r="37" spans="1:10" x14ac:dyDescent="0.25">
      <c r="A37" s="76"/>
      <c r="B37" s="76"/>
      <c r="C37" s="76"/>
      <c r="D37" s="76"/>
      <c r="E37" s="76"/>
      <c r="F37" s="76"/>
      <c r="G37" s="76"/>
      <c r="H37" s="76"/>
      <c r="I37" s="76"/>
      <c r="J37" s="76"/>
    </row>
    <row r="38" spans="1:10" x14ac:dyDescent="0.25">
      <c r="A38" s="76"/>
      <c r="B38" s="76"/>
      <c r="C38" s="76"/>
      <c r="D38" s="76"/>
      <c r="E38" s="76"/>
      <c r="F38" s="76"/>
      <c r="G38" s="76"/>
      <c r="H38" s="76"/>
      <c r="I38" s="76"/>
      <c r="J38" s="76"/>
    </row>
  </sheetData>
  <sortState xmlns:xlrd2="http://schemas.microsoft.com/office/spreadsheetml/2017/richdata2" ref="L3:M30">
    <sortCondition descending="1" ref="M3:M30"/>
  </sortState>
  <mergeCells count="6">
    <mergeCell ref="M1:M2"/>
    <mergeCell ref="A25:J27"/>
    <mergeCell ref="A3:J5"/>
    <mergeCell ref="A1:J2"/>
    <mergeCell ref="A21:J22"/>
    <mergeCell ref="A23:J24"/>
  </mergeCells>
  <hyperlinks>
    <hyperlink ref="A29" r:id="rId1" xr:uid="{E35C31A4-C18F-4A2D-BC4E-447357499673}"/>
  </hyperlinks>
  <pageMargins left="0.7" right="0.7" top="0.75" bottom="0.75" header="0.3" footer="0.3"/>
  <pageSetup paperSize="9" orientation="portrait"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45326-4431-403E-8135-3109B7675141}">
  <dimension ref="A1:EH76"/>
  <sheetViews>
    <sheetView zoomScaleNormal="100" workbookViewId="0">
      <selection sqref="A1:I1"/>
    </sheetView>
  </sheetViews>
  <sheetFormatPr defaultColWidth="8.7109375" defaultRowHeight="16.5" x14ac:dyDescent="0.3"/>
  <cols>
    <col min="1" max="8" width="8.7109375" style="6"/>
    <col min="9" max="9" width="13.140625" style="6" customWidth="1"/>
    <col min="10" max="10" width="11.5703125" style="6" customWidth="1"/>
    <col min="11" max="12" width="8.7109375" style="6"/>
    <col min="13" max="13" width="13.140625" style="6" customWidth="1"/>
    <col min="14" max="14" width="18.5703125" style="6" customWidth="1"/>
    <col min="15" max="15" width="13.5703125" style="6" customWidth="1"/>
    <col min="16" max="16" width="8.7109375" style="6"/>
    <col min="17" max="17" width="13.140625" style="6" customWidth="1"/>
    <col min="18" max="18" width="18.5703125" style="6" customWidth="1"/>
    <col min="19" max="19" width="13.5703125" style="6" customWidth="1"/>
    <col min="20" max="20" width="8.7109375" style="6"/>
    <col min="21" max="21" width="13.140625" style="6" customWidth="1"/>
    <col min="22" max="22" width="18.5703125" style="6" customWidth="1"/>
    <col min="23" max="24" width="13.5703125" style="6" customWidth="1"/>
    <col min="25" max="26" width="8.7109375" style="6"/>
    <col min="27" max="27" width="18.5703125" style="6" customWidth="1"/>
    <col min="28" max="28" width="13.5703125" style="6" customWidth="1"/>
    <col min="29" max="138" width="8.7109375" style="6"/>
    <col min="139" max="16384" width="8.7109375" style="22"/>
  </cols>
  <sheetData>
    <row r="1" spans="1:138" ht="44.1" customHeight="1" x14ac:dyDescent="0.3">
      <c r="A1" s="99" t="s">
        <v>104</v>
      </c>
      <c r="B1" s="99"/>
      <c r="C1" s="99"/>
      <c r="D1" s="99"/>
      <c r="E1" s="99"/>
      <c r="F1" s="99"/>
      <c r="G1" s="99"/>
      <c r="H1" s="99"/>
      <c r="I1" s="99"/>
      <c r="J1" s="14"/>
      <c r="M1" s="10"/>
      <c r="N1" s="95" t="s">
        <v>92</v>
      </c>
      <c r="O1" s="95"/>
      <c r="Q1" s="10"/>
      <c r="R1" s="95" t="s">
        <v>92</v>
      </c>
      <c r="S1" s="95"/>
      <c r="U1" s="10"/>
      <c r="V1" s="95" t="s">
        <v>92</v>
      </c>
      <c r="W1" s="95"/>
      <c r="X1" s="95"/>
      <c r="Z1" s="10"/>
      <c r="AA1" s="95" t="s">
        <v>92</v>
      </c>
      <c r="AB1" s="95"/>
    </row>
    <row r="2" spans="1:138" ht="14.45" customHeight="1" x14ac:dyDescent="0.3">
      <c r="A2" s="98" t="s">
        <v>110</v>
      </c>
      <c r="B2" s="98"/>
      <c r="C2" s="98"/>
      <c r="D2" s="98"/>
      <c r="E2" s="98"/>
      <c r="F2" s="98"/>
      <c r="G2" s="98"/>
      <c r="H2" s="98"/>
      <c r="I2" s="98"/>
      <c r="J2" s="14"/>
      <c r="M2" s="17"/>
      <c r="N2" s="95"/>
      <c r="O2" s="95"/>
      <c r="Q2" s="17"/>
      <c r="R2" s="95"/>
      <c r="S2" s="95"/>
      <c r="U2" s="17"/>
      <c r="V2" s="95"/>
      <c r="W2" s="95"/>
      <c r="X2" s="95"/>
      <c r="Z2" s="17"/>
      <c r="AA2" s="95"/>
      <c r="AB2" s="95"/>
    </row>
    <row r="3" spans="1:138" ht="14.45" customHeight="1" x14ac:dyDescent="0.3">
      <c r="A3" s="98"/>
      <c r="B3" s="98"/>
      <c r="C3" s="98"/>
      <c r="D3" s="98"/>
      <c r="E3" s="98"/>
      <c r="F3" s="98"/>
      <c r="G3" s="98"/>
      <c r="H3" s="98"/>
      <c r="I3" s="98"/>
      <c r="J3" s="12"/>
      <c r="M3" s="11"/>
      <c r="N3" s="23" t="s">
        <v>68</v>
      </c>
      <c r="O3" s="18" t="s">
        <v>67</v>
      </c>
      <c r="Q3" s="11"/>
      <c r="R3" s="23" t="s">
        <v>69</v>
      </c>
      <c r="S3" s="18" t="s">
        <v>70</v>
      </c>
      <c r="U3" s="11"/>
      <c r="V3" s="23" t="s">
        <v>71</v>
      </c>
      <c r="W3" s="18" t="s">
        <v>72</v>
      </c>
      <c r="X3" s="18" t="s">
        <v>73</v>
      </c>
      <c r="Z3" s="11"/>
      <c r="AA3" s="23" t="s">
        <v>75</v>
      </c>
      <c r="AB3" s="18" t="s">
        <v>74</v>
      </c>
    </row>
    <row r="4" spans="1:138" ht="13.5" customHeight="1" x14ac:dyDescent="0.3">
      <c r="A4" s="98"/>
      <c r="B4" s="98"/>
      <c r="C4" s="98"/>
      <c r="D4" s="98"/>
      <c r="E4" s="98"/>
      <c r="F4" s="98"/>
      <c r="G4" s="98"/>
      <c r="H4" s="98"/>
      <c r="I4" s="98"/>
      <c r="J4" s="12"/>
      <c r="L4" s="59"/>
      <c r="M4" s="24" t="s">
        <v>39</v>
      </c>
      <c r="N4" s="25">
        <v>0.77639222145080566</v>
      </c>
      <c r="O4" s="25">
        <v>0.69742566347122192</v>
      </c>
      <c r="P4" s="60"/>
      <c r="Q4" s="24" t="s">
        <v>39</v>
      </c>
      <c r="R4" s="25">
        <v>0.87552458047866821</v>
      </c>
      <c r="S4" s="25">
        <v>0.64931803941726685</v>
      </c>
      <c r="T4" s="59"/>
      <c r="U4" s="9" t="s">
        <v>39</v>
      </c>
      <c r="V4" s="19">
        <v>0.81133836507797241</v>
      </c>
      <c r="W4" s="19">
        <v>0.74478018283843994</v>
      </c>
      <c r="X4" s="19">
        <v>0.58841544389724731</v>
      </c>
      <c r="Y4" s="59"/>
      <c r="Z4" s="9" t="s">
        <v>37</v>
      </c>
      <c r="AA4" s="19">
        <v>0.7797667384147644</v>
      </c>
      <c r="AB4" s="19">
        <v>0.72978770732879639</v>
      </c>
    </row>
    <row r="5" spans="1:138" ht="15" customHeight="1" x14ac:dyDescent="0.3">
      <c r="A5" s="13"/>
      <c r="B5" s="13"/>
      <c r="C5" s="13"/>
      <c r="D5" s="13"/>
      <c r="E5" s="13"/>
      <c r="F5" s="13"/>
      <c r="G5" s="13"/>
      <c r="H5" s="13"/>
      <c r="I5" s="13"/>
      <c r="L5" s="59"/>
      <c r="M5" s="8" t="s">
        <v>37</v>
      </c>
      <c r="N5" s="20">
        <v>0.72691047191619873</v>
      </c>
      <c r="O5" s="20">
        <v>0.74927514791488647</v>
      </c>
      <c r="P5" s="60"/>
      <c r="Q5" s="8" t="s">
        <v>37</v>
      </c>
      <c r="R5" s="20">
        <v>0.85074210166931152</v>
      </c>
      <c r="S5" s="20">
        <v>0.66352760791778564</v>
      </c>
      <c r="T5" s="59"/>
      <c r="U5" s="8" t="s">
        <v>38</v>
      </c>
      <c r="V5" s="20">
        <v>0.80349892377853394</v>
      </c>
      <c r="W5" s="20">
        <v>0.64709454774856567</v>
      </c>
      <c r="X5" s="20">
        <v>0.53841418027877808</v>
      </c>
      <c r="Y5" s="59"/>
      <c r="Z5" s="8" t="s">
        <v>38</v>
      </c>
      <c r="AA5" s="20">
        <v>0.76464122533798218</v>
      </c>
      <c r="AB5" s="20">
        <v>0.63188159465789795</v>
      </c>
    </row>
    <row r="6" spans="1:138" s="26" customFormat="1" x14ac:dyDescent="0.3">
      <c r="A6" s="101" t="s">
        <v>95</v>
      </c>
      <c r="B6" s="101"/>
      <c r="C6" s="101"/>
      <c r="D6" s="101"/>
      <c r="E6" s="101"/>
      <c r="F6" s="101"/>
      <c r="G6" s="101"/>
      <c r="H6" s="101"/>
      <c r="I6" s="101"/>
      <c r="J6" s="7"/>
      <c r="K6" s="7"/>
      <c r="L6" s="59"/>
      <c r="M6" s="24" t="s">
        <v>40</v>
      </c>
      <c r="N6" s="25">
        <v>0.69327366352081299</v>
      </c>
      <c r="O6" s="25">
        <v>0.65035176277160645</v>
      </c>
      <c r="P6" s="60"/>
      <c r="Q6" s="24" t="s">
        <v>40</v>
      </c>
      <c r="R6" s="25">
        <v>0.81032305955886841</v>
      </c>
      <c r="S6" s="25">
        <v>0.59763455390930176</v>
      </c>
      <c r="T6" s="59"/>
      <c r="U6" s="9" t="s">
        <v>37</v>
      </c>
      <c r="V6" s="19">
        <v>0.7996971607208252</v>
      </c>
      <c r="W6" s="19">
        <v>0.70804256200790405</v>
      </c>
      <c r="X6" s="19">
        <v>0.66738754510879517</v>
      </c>
      <c r="Y6" s="59"/>
      <c r="Z6" s="24" t="s">
        <v>39</v>
      </c>
      <c r="AA6" s="25">
        <v>0.76378774642944336</v>
      </c>
      <c r="AB6" s="25">
        <v>0.73290526866912842</v>
      </c>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row>
    <row r="7" spans="1:138" s="26" customFormat="1" x14ac:dyDescent="0.3">
      <c r="A7" s="7"/>
      <c r="B7" s="7"/>
      <c r="C7" s="7"/>
      <c r="D7" s="7"/>
      <c r="E7" s="7"/>
      <c r="F7" s="7"/>
      <c r="G7" s="7"/>
      <c r="H7" s="7"/>
      <c r="I7" s="7"/>
      <c r="J7" s="7"/>
      <c r="K7" s="7"/>
      <c r="L7" s="59"/>
      <c r="M7" s="8" t="s">
        <v>38</v>
      </c>
      <c r="N7" s="20">
        <v>0.68627941608428955</v>
      </c>
      <c r="O7" s="20">
        <v>0.6074519157409668</v>
      </c>
      <c r="P7" s="60"/>
      <c r="Q7" s="8" t="s">
        <v>38</v>
      </c>
      <c r="R7" s="20">
        <v>0.78475415706634521</v>
      </c>
      <c r="S7" s="20">
        <v>0.60119754076004028</v>
      </c>
      <c r="T7" s="59"/>
      <c r="U7" s="8" t="s">
        <v>40</v>
      </c>
      <c r="V7" s="20">
        <v>0.78438639640808105</v>
      </c>
      <c r="W7" s="20">
        <v>0.69269216060638428</v>
      </c>
      <c r="X7" s="20">
        <v>0.53920537233352661</v>
      </c>
      <c r="Y7" s="59"/>
      <c r="Z7" s="27" t="s">
        <v>41</v>
      </c>
      <c r="AA7" s="28">
        <v>0.70321047306060791</v>
      </c>
      <c r="AB7" s="28">
        <v>0.55000227689743042</v>
      </c>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row>
    <row r="8" spans="1:138" s="26" customFormat="1" x14ac:dyDescent="0.3">
      <c r="A8" s="7"/>
      <c r="B8" s="7"/>
      <c r="C8" s="7"/>
      <c r="D8" s="7"/>
      <c r="E8" s="7"/>
      <c r="F8" s="7"/>
      <c r="G8" s="7"/>
      <c r="H8" s="7"/>
      <c r="I8" s="7"/>
      <c r="J8" s="7"/>
      <c r="K8" s="7"/>
      <c r="L8" s="59"/>
      <c r="M8" s="24" t="s">
        <v>63</v>
      </c>
      <c r="N8" s="25">
        <v>0.67114996910095215</v>
      </c>
      <c r="O8" s="25">
        <v>0.57046604156494141</v>
      </c>
      <c r="P8" s="60"/>
      <c r="Q8" s="24" t="s">
        <v>63</v>
      </c>
      <c r="R8" s="25">
        <v>0.76227563619613647</v>
      </c>
      <c r="S8" s="25">
        <v>0.54102468490600586</v>
      </c>
      <c r="T8" s="59"/>
      <c r="U8" s="9" t="s">
        <v>42</v>
      </c>
      <c r="V8" s="19">
        <v>0.70429360866546631</v>
      </c>
      <c r="W8" s="19">
        <v>0.54312556982040405</v>
      </c>
      <c r="X8" s="19">
        <v>0.50638002157211304</v>
      </c>
      <c r="Y8" s="59"/>
      <c r="Z8" s="24" t="s">
        <v>40</v>
      </c>
      <c r="AA8" s="25">
        <v>0.70305478572845459</v>
      </c>
      <c r="AB8" s="25">
        <v>0.66770690679550171</v>
      </c>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row>
    <row r="9" spans="1:138" s="26" customFormat="1" x14ac:dyDescent="0.3">
      <c r="A9" s="7"/>
      <c r="B9" s="7"/>
      <c r="C9" s="7"/>
      <c r="D9" s="7"/>
      <c r="E9" s="7"/>
      <c r="F9" s="7"/>
      <c r="G9" s="7"/>
      <c r="H9" s="7"/>
      <c r="I9" s="7"/>
      <c r="J9" s="7"/>
      <c r="K9" s="7"/>
      <c r="L9" s="59"/>
      <c r="M9" s="8" t="s">
        <v>41</v>
      </c>
      <c r="N9" s="20">
        <v>0.61129748821258545</v>
      </c>
      <c r="O9" s="20">
        <v>0.52223795652389526</v>
      </c>
      <c r="P9" s="60"/>
      <c r="Q9" s="8" t="s">
        <v>41</v>
      </c>
      <c r="R9" s="20">
        <v>0.73472237586975098</v>
      </c>
      <c r="S9" s="20">
        <v>0.47580626606941223</v>
      </c>
      <c r="T9" s="59"/>
      <c r="U9" s="8" t="s">
        <v>41</v>
      </c>
      <c r="V9" s="20">
        <v>0.69972580671310425</v>
      </c>
      <c r="W9" s="20">
        <v>0.51986289024353027</v>
      </c>
      <c r="X9" s="20">
        <v>0.41298744082450867</v>
      </c>
      <c r="Y9" s="59"/>
      <c r="Z9" s="27" t="s">
        <v>62</v>
      </c>
      <c r="AA9" s="28">
        <v>0.67619132995605469</v>
      </c>
      <c r="AB9" s="28">
        <v>0.34866315126419067</v>
      </c>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row>
    <row r="10" spans="1:138" s="26" customFormat="1" x14ac:dyDescent="0.3">
      <c r="A10" s="7"/>
      <c r="B10" s="7"/>
      <c r="C10" s="7"/>
      <c r="D10" s="7"/>
      <c r="E10" s="7"/>
      <c r="F10" s="7"/>
      <c r="G10" s="7"/>
      <c r="H10" s="7"/>
      <c r="I10" s="7"/>
      <c r="J10" s="7"/>
      <c r="K10" s="7"/>
      <c r="L10" s="59"/>
      <c r="M10" s="24" t="s">
        <v>42</v>
      </c>
      <c r="N10" s="25">
        <v>0.60210978984832764</v>
      </c>
      <c r="O10" s="25">
        <v>0.53485876321792603</v>
      </c>
      <c r="P10" s="60"/>
      <c r="Q10" s="24" t="s">
        <v>50</v>
      </c>
      <c r="R10" s="25">
        <v>0.72183781862258911</v>
      </c>
      <c r="S10" s="25">
        <v>0.41675284504890442</v>
      </c>
      <c r="T10" s="59"/>
      <c r="U10" s="9" t="s">
        <v>63</v>
      </c>
      <c r="V10" s="19">
        <v>0.69965046644210815</v>
      </c>
      <c r="W10" s="19">
        <v>0.66580319404602051</v>
      </c>
      <c r="X10" s="19">
        <v>0.49572411179542542</v>
      </c>
      <c r="Y10" s="59"/>
      <c r="Z10" s="24" t="s">
        <v>53</v>
      </c>
      <c r="AA10" s="25">
        <v>0.63508468866348267</v>
      </c>
      <c r="AB10" s="25">
        <v>0.43602582812309265</v>
      </c>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row>
    <row r="11" spans="1:138" s="26" customFormat="1" x14ac:dyDescent="0.3">
      <c r="A11" s="7"/>
      <c r="B11" s="7"/>
      <c r="C11" s="7"/>
      <c r="D11" s="7"/>
      <c r="E11" s="7"/>
      <c r="F11" s="7"/>
      <c r="G11" s="7"/>
      <c r="H11" s="7"/>
      <c r="I11" s="7"/>
      <c r="J11" s="7"/>
      <c r="K11" s="7"/>
      <c r="L11" s="59"/>
      <c r="M11" s="8" t="s">
        <v>50</v>
      </c>
      <c r="N11" s="20">
        <v>0.51422983407974243</v>
      </c>
      <c r="O11" s="20">
        <v>0.44143044948577881</v>
      </c>
      <c r="P11" s="60"/>
      <c r="Q11" s="8" t="s">
        <v>62</v>
      </c>
      <c r="R11" s="20">
        <v>0.711173415184021</v>
      </c>
      <c r="S11" s="20">
        <v>0.25068244338035583</v>
      </c>
      <c r="T11" s="59"/>
      <c r="U11" s="8" t="s">
        <v>46</v>
      </c>
      <c r="V11" s="20">
        <v>0.65343278646469116</v>
      </c>
      <c r="W11" s="20">
        <v>0.39904347062110901</v>
      </c>
      <c r="X11" s="20">
        <v>0.3641088604927063</v>
      </c>
      <c r="Y11" s="59"/>
      <c r="Z11" s="27" t="s">
        <v>46</v>
      </c>
      <c r="AA11" s="28">
        <v>0.63378101587295532</v>
      </c>
      <c r="AB11" s="28">
        <v>0.44845449924468994</v>
      </c>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row>
    <row r="12" spans="1:138" s="26" customFormat="1" x14ac:dyDescent="0.3">
      <c r="A12" s="7"/>
      <c r="B12" s="7"/>
      <c r="C12" s="7"/>
      <c r="D12" s="7"/>
      <c r="E12" s="7"/>
      <c r="F12" s="7"/>
      <c r="G12" s="7"/>
      <c r="H12" s="7"/>
      <c r="I12" s="7"/>
      <c r="J12" s="7"/>
      <c r="K12" s="7"/>
      <c r="L12" s="59"/>
      <c r="M12" s="29" t="s">
        <v>65</v>
      </c>
      <c r="N12" s="30">
        <v>0.50296934887214939</v>
      </c>
      <c r="O12" s="30">
        <v>0.45156367950969273</v>
      </c>
      <c r="P12" s="60"/>
      <c r="Q12" s="24" t="s">
        <v>42</v>
      </c>
      <c r="R12" s="25">
        <v>0.69309210777282715</v>
      </c>
      <c r="S12" s="25">
        <v>0.49205365777015686</v>
      </c>
      <c r="T12" s="59"/>
      <c r="U12" s="9" t="s">
        <v>43</v>
      </c>
      <c r="V12" s="19">
        <v>0.60343992710113525</v>
      </c>
      <c r="W12" s="19">
        <v>0.48172837495803833</v>
      </c>
      <c r="X12" s="19">
        <v>0.35608690977096558</v>
      </c>
      <c r="Y12" s="59"/>
      <c r="Z12" s="24" t="s">
        <v>49</v>
      </c>
      <c r="AA12" s="25">
        <v>0.62410527467727661</v>
      </c>
      <c r="AB12" s="25">
        <v>0.30925780534744263</v>
      </c>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row>
    <row r="13" spans="1:138" s="26" customFormat="1" x14ac:dyDescent="0.3">
      <c r="A13" s="7"/>
      <c r="B13" s="7"/>
      <c r="C13" s="7"/>
      <c r="D13" s="7"/>
      <c r="E13" s="7"/>
      <c r="F13" s="7"/>
      <c r="G13" s="7"/>
      <c r="H13" s="7"/>
      <c r="I13" s="7"/>
      <c r="J13" s="7"/>
      <c r="K13" s="7"/>
      <c r="L13" s="59"/>
      <c r="M13" s="8" t="s">
        <v>44</v>
      </c>
      <c r="N13" s="20">
        <v>0.49904352426528931</v>
      </c>
      <c r="O13" s="20">
        <v>0.41790544986724854</v>
      </c>
      <c r="P13" s="60"/>
      <c r="Q13" s="8" t="s">
        <v>55</v>
      </c>
      <c r="R13" s="20">
        <v>0.68893319368362427</v>
      </c>
      <c r="S13" s="20">
        <v>0.31403833627700806</v>
      </c>
      <c r="T13" s="59"/>
      <c r="U13" s="8" t="s">
        <v>50</v>
      </c>
      <c r="V13" s="20">
        <v>0.60225886106491089</v>
      </c>
      <c r="W13" s="20">
        <v>0.46573832631111145</v>
      </c>
      <c r="X13" s="20">
        <v>0.35898482799530029</v>
      </c>
      <c r="Y13" s="59"/>
      <c r="Z13" s="27" t="s">
        <v>45</v>
      </c>
      <c r="AA13" s="28">
        <v>0.61560314893722534</v>
      </c>
      <c r="AB13" s="28">
        <v>0.45676538348197937</v>
      </c>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row>
    <row r="14" spans="1:138" s="26" customFormat="1" x14ac:dyDescent="0.3">
      <c r="A14" s="7"/>
      <c r="B14" s="7"/>
      <c r="C14" s="7"/>
      <c r="D14" s="7"/>
      <c r="E14" s="7"/>
      <c r="F14" s="7"/>
      <c r="G14" s="7"/>
      <c r="H14" s="7"/>
      <c r="I14" s="7"/>
      <c r="J14" s="7"/>
      <c r="K14" s="7"/>
      <c r="L14" s="59"/>
      <c r="M14" s="24" t="s">
        <v>54</v>
      </c>
      <c r="N14" s="25">
        <v>0.49253690242767334</v>
      </c>
      <c r="O14" s="25">
        <v>0.39552208781242371</v>
      </c>
      <c r="P14" s="60"/>
      <c r="Q14" s="24" t="s">
        <v>45</v>
      </c>
      <c r="R14" s="25">
        <v>0.66911536455154419</v>
      </c>
      <c r="S14" s="25">
        <v>0.41809889674186707</v>
      </c>
      <c r="T14" s="59"/>
      <c r="U14" s="15" t="s">
        <v>65</v>
      </c>
      <c r="V14" s="31">
        <v>0.59111906643267031</v>
      </c>
      <c r="W14" s="31">
        <v>0.45074729786978829</v>
      </c>
      <c r="X14" s="31">
        <v>0.40652424317819102</v>
      </c>
      <c r="Y14" s="59"/>
      <c r="Z14" s="24" t="s">
        <v>42</v>
      </c>
      <c r="AA14" s="25">
        <v>0.61345714330673218</v>
      </c>
      <c r="AB14" s="25">
        <v>0.56350475549697876</v>
      </c>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row>
    <row r="15" spans="1:138" s="26" customFormat="1" x14ac:dyDescent="0.3">
      <c r="A15" s="7"/>
      <c r="B15" s="7"/>
      <c r="C15" s="7"/>
      <c r="D15" s="7"/>
      <c r="E15" s="7"/>
      <c r="F15" s="7"/>
      <c r="G15" s="7"/>
      <c r="H15" s="7"/>
      <c r="I15" s="7"/>
      <c r="J15" s="7"/>
      <c r="K15" s="7"/>
      <c r="L15" s="59"/>
      <c r="M15" s="8" t="s">
        <v>46</v>
      </c>
      <c r="N15" s="20">
        <v>0.49052417278289795</v>
      </c>
      <c r="O15" s="20">
        <v>0.44727933406829834</v>
      </c>
      <c r="P15" s="60"/>
      <c r="Q15" s="8" t="s">
        <v>52</v>
      </c>
      <c r="R15" s="20">
        <v>0.66896748542785645</v>
      </c>
      <c r="S15" s="20">
        <v>0.41109636425971985</v>
      </c>
      <c r="T15" s="59"/>
      <c r="U15" s="8" t="s">
        <v>47</v>
      </c>
      <c r="V15" s="20">
        <v>0.59029984474182129</v>
      </c>
      <c r="W15" s="20">
        <v>0.37201905250549316</v>
      </c>
      <c r="X15" s="20">
        <v>0.33125802874565125</v>
      </c>
      <c r="Y15" s="59"/>
      <c r="Z15" s="27" t="s">
        <v>47</v>
      </c>
      <c r="AA15" s="28">
        <v>0.60061180591583252</v>
      </c>
      <c r="AB15" s="28">
        <v>0.42718091607093811</v>
      </c>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row>
    <row r="16" spans="1:138" s="26" customFormat="1" x14ac:dyDescent="0.3">
      <c r="A16" s="7"/>
      <c r="B16" s="7"/>
      <c r="C16" s="7"/>
      <c r="D16" s="7"/>
      <c r="E16" s="7"/>
      <c r="F16" s="7"/>
      <c r="G16" s="7"/>
      <c r="H16" s="7"/>
      <c r="I16" s="7"/>
      <c r="J16" s="7"/>
      <c r="K16" s="7"/>
      <c r="L16" s="59"/>
      <c r="M16" s="24" t="s">
        <v>53</v>
      </c>
      <c r="N16" s="25">
        <v>0.4850257933139801</v>
      </c>
      <c r="O16" s="25">
        <v>0.43839633464813232</v>
      </c>
      <c r="P16" s="60"/>
      <c r="Q16" s="24" t="s">
        <v>47</v>
      </c>
      <c r="R16" s="25">
        <v>0.6648705005645752</v>
      </c>
      <c r="S16" s="25">
        <v>0.36048471927642822</v>
      </c>
      <c r="T16" s="59"/>
      <c r="U16" s="9" t="s">
        <v>45</v>
      </c>
      <c r="V16" s="19">
        <v>0.58507245779037476</v>
      </c>
      <c r="W16" s="19">
        <v>0.45508399605751038</v>
      </c>
      <c r="X16" s="19">
        <v>0.41580218076705933</v>
      </c>
      <c r="Y16" s="59"/>
      <c r="Z16" s="24" t="s">
        <v>54</v>
      </c>
      <c r="AA16" s="25">
        <v>0.59416919946670532</v>
      </c>
      <c r="AB16" s="25">
        <v>0.41582915186882019</v>
      </c>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row>
    <row r="17" spans="1:138" s="26" customFormat="1" x14ac:dyDescent="0.3">
      <c r="A17" s="7"/>
      <c r="B17" s="7"/>
      <c r="C17" s="7"/>
      <c r="D17" s="7"/>
      <c r="E17" s="7"/>
      <c r="F17" s="7"/>
      <c r="G17" s="7"/>
      <c r="H17" s="7"/>
      <c r="I17" s="7"/>
      <c r="J17" s="7"/>
      <c r="K17" s="7"/>
      <c r="L17" s="59"/>
      <c r="M17" s="8" t="s">
        <v>45</v>
      </c>
      <c r="N17" s="20">
        <v>0.48098769783973694</v>
      </c>
      <c r="O17" s="20">
        <v>0.46728429198265076</v>
      </c>
      <c r="P17" s="60"/>
      <c r="Q17" s="8" t="s">
        <v>53</v>
      </c>
      <c r="R17" s="20">
        <v>0.65517705678939819</v>
      </c>
      <c r="S17" s="20">
        <v>0.36252766847610474</v>
      </c>
      <c r="T17" s="59"/>
      <c r="U17" s="8" t="s">
        <v>60</v>
      </c>
      <c r="V17" s="20">
        <v>0.58264809846878052</v>
      </c>
      <c r="W17" s="20">
        <v>0.29644760489463806</v>
      </c>
      <c r="X17" s="20">
        <v>0.4038216769695282</v>
      </c>
      <c r="Y17" s="59"/>
      <c r="Z17" s="34" t="s">
        <v>65</v>
      </c>
      <c r="AA17" s="35">
        <v>0.5900694209116476</v>
      </c>
      <c r="AB17" s="35">
        <v>0.4608857559937018</v>
      </c>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row>
    <row r="18" spans="1:138" s="26" customFormat="1" x14ac:dyDescent="0.3">
      <c r="A18" s="7"/>
      <c r="B18" s="7"/>
      <c r="C18" s="7"/>
      <c r="D18" s="7"/>
      <c r="E18" s="7"/>
      <c r="F18" s="7"/>
      <c r="G18" s="7"/>
      <c r="H18" s="7"/>
      <c r="I18" s="7"/>
      <c r="J18" s="7"/>
      <c r="K18" s="7"/>
      <c r="L18" s="59"/>
      <c r="M18" s="24" t="s">
        <v>47</v>
      </c>
      <c r="N18" s="25">
        <v>0.47811552882194519</v>
      </c>
      <c r="O18" s="25">
        <v>0.41658508777618408</v>
      </c>
      <c r="P18" s="60"/>
      <c r="Q18" s="29" t="s">
        <v>65</v>
      </c>
      <c r="R18" s="30">
        <v>0.63990842302640283</v>
      </c>
      <c r="S18" s="30">
        <v>0.38492409333034799</v>
      </c>
      <c r="T18" s="59"/>
      <c r="U18" s="9" t="s">
        <v>56</v>
      </c>
      <c r="V18" s="19">
        <v>0.57763564586639404</v>
      </c>
      <c r="W18" s="19">
        <v>0.34177574515342712</v>
      </c>
      <c r="X18" s="19">
        <v>0.42558541893959045</v>
      </c>
      <c r="Y18" s="59"/>
      <c r="Z18" s="24" t="s">
        <v>56</v>
      </c>
      <c r="AA18" s="25">
        <v>0.58021736145019531</v>
      </c>
      <c r="AB18" s="25">
        <v>0.41795364022254944</v>
      </c>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row>
    <row r="19" spans="1:138" s="26" customFormat="1" x14ac:dyDescent="0.3">
      <c r="A19" s="7"/>
      <c r="B19" s="7"/>
      <c r="C19" s="7"/>
      <c r="D19" s="7"/>
      <c r="E19" s="7"/>
      <c r="F19" s="7"/>
      <c r="G19" s="7"/>
      <c r="H19" s="7"/>
      <c r="I19" s="7"/>
      <c r="J19" s="7"/>
      <c r="K19" s="7"/>
      <c r="L19" s="59"/>
      <c r="M19" s="8" t="s">
        <v>51</v>
      </c>
      <c r="N19" s="20">
        <v>0.45566260814666748</v>
      </c>
      <c r="O19" s="20">
        <v>0.44800391793251038</v>
      </c>
      <c r="P19" s="60"/>
      <c r="Q19" s="8" t="s">
        <v>43</v>
      </c>
      <c r="R19" s="20">
        <v>0.6351701021194458</v>
      </c>
      <c r="S19" s="20">
        <v>0.31099098920822144</v>
      </c>
      <c r="T19" s="59"/>
      <c r="U19" s="8" t="s">
        <v>53</v>
      </c>
      <c r="V19" s="20">
        <v>0.57014131546020508</v>
      </c>
      <c r="W19" s="20">
        <v>0.46048524975776672</v>
      </c>
      <c r="X19" s="20">
        <v>0.37038552761077881</v>
      </c>
      <c r="Y19" s="59"/>
      <c r="Z19" s="27" t="s">
        <v>58</v>
      </c>
      <c r="AA19" s="28">
        <v>0.5739293098449707</v>
      </c>
      <c r="AB19" s="28">
        <v>0.35555648803710938</v>
      </c>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row>
    <row r="20" spans="1:138" s="26" customFormat="1" x14ac:dyDescent="0.3">
      <c r="A20" s="6"/>
      <c r="B20" s="7"/>
      <c r="C20" s="7"/>
      <c r="D20" s="7"/>
      <c r="E20" s="7"/>
      <c r="F20" s="7"/>
      <c r="G20" s="7"/>
      <c r="H20" s="7"/>
      <c r="I20" s="7"/>
      <c r="J20" s="7"/>
      <c r="K20" s="7"/>
      <c r="L20" s="59"/>
      <c r="M20" s="24" t="s">
        <v>52</v>
      </c>
      <c r="N20" s="25">
        <v>0.44679614901542664</v>
      </c>
      <c r="O20" s="25">
        <v>0.53065729141235352</v>
      </c>
      <c r="P20" s="60"/>
      <c r="Q20" s="24" t="s">
        <v>44</v>
      </c>
      <c r="R20" s="25">
        <v>0.61787313222885132</v>
      </c>
      <c r="S20" s="25">
        <v>0.31021985411643982</v>
      </c>
      <c r="T20" s="59"/>
      <c r="U20" s="9" t="s">
        <v>54</v>
      </c>
      <c r="V20" s="19">
        <v>0.55996370315551758</v>
      </c>
      <c r="W20" s="19">
        <v>0.44213786721229553</v>
      </c>
      <c r="X20" s="19">
        <v>0.38921266794204712</v>
      </c>
      <c r="Y20" s="59"/>
      <c r="Z20" s="24" t="s">
        <v>60</v>
      </c>
      <c r="AA20" s="25">
        <v>0.57248997688293457</v>
      </c>
      <c r="AB20" s="25">
        <v>0.4081445038318634</v>
      </c>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row>
    <row r="21" spans="1:138" ht="14.1" customHeight="1" x14ac:dyDescent="0.3">
      <c r="A21" s="6" t="s">
        <v>96</v>
      </c>
      <c r="B21" s="7"/>
      <c r="C21" s="7"/>
      <c r="D21" s="7"/>
      <c r="E21" s="7"/>
      <c r="F21" s="7"/>
      <c r="G21" s="7"/>
      <c r="H21" s="7"/>
      <c r="I21" s="7"/>
      <c r="L21" s="61"/>
      <c r="M21" s="8" t="s">
        <v>55</v>
      </c>
      <c r="N21" s="20">
        <v>0.44351780414581299</v>
      </c>
      <c r="O21" s="20">
        <v>0.36828598380088806</v>
      </c>
      <c r="P21" s="60"/>
      <c r="Q21" s="8" t="s">
        <v>56</v>
      </c>
      <c r="R21" s="20">
        <v>0.60688215494155884</v>
      </c>
      <c r="S21" s="20">
        <v>0.38646197319030762</v>
      </c>
      <c r="T21" s="59"/>
      <c r="U21" s="8" t="s">
        <v>49</v>
      </c>
      <c r="V21" s="20">
        <v>0.54733729362487793</v>
      </c>
      <c r="W21" s="20">
        <v>0.33516401052474976</v>
      </c>
      <c r="X21" s="20">
        <v>0.16590441763401031</v>
      </c>
      <c r="Y21" s="59"/>
      <c r="Z21" s="27" t="s">
        <v>63</v>
      </c>
      <c r="AA21" s="28">
        <v>0.56841409206390381</v>
      </c>
      <c r="AB21" s="28">
        <v>0.62999868392944336</v>
      </c>
    </row>
    <row r="22" spans="1:138" x14ac:dyDescent="0.3">
      <c r="L22" s="59"/>
      <c r="M22" s="24" t="s">
        <v>60</v>
      </c>
      <c r="N22" s="25">
        <v>0.44185644388198853</v>
      </c>
      <c r="O22" s="25">
        <v>0.42040422558784485</v>
      </c>
      <c r="P22" s="60"/>
      <c r="Q22" s="24" t="s">
        <v>48</v>
      </c>
      <c r="R22" s="25">
        <v>0.57877480983734131</v>
      </c>
      <c r="S22" s="25">
        <v>0.33576896786689758</v>
      </c>
      <c r="T22" s="59"/>
      <c r="U22" s="9" t="s">
        <v>52</v>
      </c>
      <c r="V22" s="19">
        <v>0.53983974456787109</v>
      </c>
      <c r="W22" s="19">
        <v>0.45340541005134583</v>
      </c>
      <c r="X22" s="19">
        <v>0.40709137916564941</v>
      </c>
      <c r="Y22" s="59"/>
      <c r="Z22" s="24" t="s">
        <v>55</v>
      </c>
      <c r="AA22" s="25">
        <v>0.54977786540985107</v>
      </c>
      <c r="AB22" s="25">
        <v>0.38742169737815857</v>
      </c>
    </row>
    <row r="23" spans="1:138" x14ac:dyDescent="0.3">
      <c r="L23" s="59"/>
      <c r="M23" s="8" t="s">
        <v>56</v>
      </c>
      <c r="N23" s="20">
        <v>0.44124048948287964</v>
      </c>
      <c r="O23" s="20">
        <v>0.43926417827606201</v>
      </c>
      <c r="P23" s="60"/>
      <c r="Q23" s="8" t="s">
        <v>54</v>
      </c>
      <c r="R23" s="20">
        <v>0.56791841983795166</v>
      </c>
      <c r="S23" s="20">
        <v>0.33213910460472107</v>
      </c>
      <c r="T23" s="59"/>
      <c r="U23" s="8" t="s">
        <v>51</v>
      </c>
      <c r="V23" s="20">
        <v>0.53480684757232666</v>
      </c>
      <c r="W23" s="20">
        <v>0.4308454692363739</v>
      </c>
      <c r="X23" s="20">
        <v>0.36978399753570557</v>
      </c>
      <c r="Y23" s="59"/>
      <c r="Z23" s="27" t="s">
        <v>57</v>
      </c>
      <c r="AA23" s="28">
        <v>0.54723376035690308</v>
      </c>
      <c r="AB23" s="28">
        <v>0.23940621316432953</v>
      </c>
    </row>
    <row r="24" spans="1:138" x14ac:dyDescent="0.3">
      <c r="L24" s="59"/>
      <c r="M24" s="24" t="s">
        <v>43</v>
      </c>
      <c r="N24" s="25">
        <v>0.43874037265777588</v>
      </c>
      <c r="O24" s="25">
        <v>0.41361579298973083</v>
      </c>
      <c r="P24" s="60"/>
      <c r="Q24" s="24" t="s">
        <v>46</v>
      </c>
      <c r="R24" s="25">
        <v>0.55156141519546509</v>
      </c>
      <c r="S24" s="25">
        <v>0.32944765686988831</v>
      </c>
      <c r="T24" s="59"/>
      <c r="U24" s="9" t="s">
        <v>48</v>
      </c>
      <c r="V24" s="19">
        <v>0.51617008447647095</v>
      </c>
      <c r="W24" s="19">
        <v>0.33281418681144714</v>
      </c>
      <c r="X24" s="19">
        <v>0.47646942734718323</v>
      </c>
      <c r="Y24" s="59"/>
      <c r="Z24" s="24" t="s">
        <v>52</v>
      </c>
      <c r="AA24" s="25">
        <v>0.54204833507537842</v>
      </c>
      <c r="AB24" s="25">
        <v>0.47888535261154175</v>
      </c>
    </row>
    <row r="25" spans="1:138" x14ac:dyDescent="0.3">
      <c r="L25" s="59"/>
      <c r="M25" s="8" t="s">
        <v>58</v>
      </c>
      <c r="N25" s="20">
        <v>0.4376567006111145</v>
      </c>
      <c r="O25" s="20">
        <v>0.31794339418411255</v>
      </c>
      <c r="P25" s="60"/>
      <c r="Q25" s="8" t="s">
        <v>51</v>
      </c>
      <c r="R25" s="20">
        <v>0.54363691806793213</v>
      </c>
      <c r="S25" s="20">
        <v>0.28677520155906677</v>
      </c>
      <c r="T25" s="59"/>
      <c r="U25" s="8" t="s">
        <v>55</v>
      </c>
      <c r="V25" s="20">
        <v>0.50452286005020142</v>
      </c>
      <c r="W25" s="20">
        <v>0.30733960866928101</v>
      </c>
      <c r="X25" s="20">
        <v>0.4567713737487793</v>
      </c>
      <c r="Y25" s="59"/>
      <c r="Z25" s="27" t="s">
        <v>48</v>
      </c>
      <c r="AA25" s="28">
        <v>0.54000687599182129</v>
      </c>
      <c r="AB25" s="28">
        <v>0.38756364583969116</v>
      </c>
    </row>
    <row r="26" spans="1:138" x14ac:dyDescent="0.3">
      <c r="L26" s="59"/>
      <c r="M26" s="24" t="s">
        <v>59</v>
      </c>
      <c r="N26" s="25">
        <v>0.413767009973526</v>
      </c>
      <c r="O26" s="25">
        <v>0.34830638766288757</v>
      </c>
      <c r="P26" s="60"/>
      <c r="Q26" s="24" t="s">
        <v>58</v>
      </c>
      <c r="R26" s="25">
        <v>0.53262925148010254</v>
      </c>
      <c r="S26" s="25">
        <v>0.32169464230537415</v>
      </c>
      <c r="T26" s="59"/>
      <c r="U26" s="9" t="s">
        <v>44</v>
      </c>
      <c r="V26" s="19">
        <v>0.50450229644775391</v>
      </c>
      <c r="W26" s="19">
        <v>0.47490671277046204</v>
      </c>
      <c r="X26" s="19">
        <v>0.3799700140953064</v>
      </c>
      <c r="Y26" s="59"/>
      <c r="Z26" s="24" t="s">
        <v>43</v>
      </c>
      <c r="AA26" s="25">
        <v>0.50736451148986816</v>
      </c>
      <c r="AB26" s="25">
        <v>0.41563770174980164</v>
      </c>
    </row>
    <row r="27" spans="1:138" x14ac:dyDescent="0.3">
      <c r="L27" s="59"/>
      <c r="M27" s="8" t="s">
        <v>62</v>
      </c>
      <c r="N27" s="20">
        <v>0.41235902905464172</v>
      </c>
      <c r="O27" s="20">
        <v>0.38100820779800415</v>
      </c>
      <c r="P27" s="60"/>
      <c r="Q27" s="8" t="s">
        <v>59</v>
      </c>
      <c r="R27" s="20">
        <v>0.53248769044876099</v>
      </c>
      <c r="S27" s="20">
        <v>0.27924042940139771</v>
      </c>
      <c r="T27" s="59"/>
      <c r="U27" s="8" t="s">
        <v>62</v>
      </c>
      <c r="V27" s="20">
        <v>0.49679091572761536</v>
      </c>
      <c r="W27" s="20">
        <v>0.32213425636291504</v>
      </c>
      <c r="X27" s="20">
        <v>0.38011935353279114</v>
      </c>
      <c r="Y27" s="59"/>
      <c r="Z27" s="27" t="s">
        <v>44</v>
      </c>
      <c r="AA27" s="28">
        <v>0.50095283985137939</v>
      </c>
      <c r="AB27" s="28">
        <v>0.44889345765113831</v>
      </c>
    </row>
    <row r="28" spans="1:138" x14ac:dyDescent="0.3">
      <c r="L28" s="59"/>
      <c r="M28" s="24" t="s">
        <v>48</v>
      </c>
      <c r="N28" s="25">
        <v>0.40918490290641785</v>
      </c>
      <c r="O28" s="25">
        <v>0.40467426180839539</v>
      </c>
      <c r="P28" s="60"/>
      <c r="Q28" s="24" t="s">
        <v>60</v>
      </c>
      <c r="R28" s="25">
        <v>0.53119188547134399</v>
      </c>
      <c r="S28" s="25">
        <v>0.34008863568305969</v>
      </c>
      <c r="T28" s="59"/>
      <c r="U28" s="9" t="s">
        <v>59</v>
      </c>
      <c r="V28" s="19">
        <v>0.48604676127433777</v>
      </c>
      <c r="W28" s="19">
        <v>0.45097211003303528</v>
      </c>
      <c r="X28" s="19">
        <v>0.34322142601013184</v>
      </c>
      <c r="Y28" s="59"/>
      <c r="Z28" s="24" t="s">
        <v>51</v>
      </c>
      <c r="AA28" s="25">
        <v>0.48279485106468201</v>
      </c>
      <c r="AB28" s="25">
        <v>0.44752708077430725</v>
      </c>
    </row>
    <row r="29" spans="1:138" x14ac:dyDescent="0.3">
      <c r="L29" s="59"/>
      <c r="M29" s="8" t="s">
        <v>49</v>
      </c>
      <c r="N29" s="20">
        <v>0.39095029234886169</v>
      </c>
      <c r="O29" s="20">
        <v>0.29803109169006348</v>
      </c>
      <c r="P29" s="60"/>
      <c r="Q29" s="8" t="s">
        <v>49</v>
      </c>
      <c r="R29" s="20">
        <v>0.48962682485580444</v>
      </c>
      <c r="S29" s="20">
        <v>0.21152579784393311</v>
      </c>
      <c r="T29" s="59"/>
      <c r="U29" s="8" t="s">
        <v>58</v>
      </c>
      <c r="V29" s="20">
        <v>0.42374512553215027</v>
      </c>
      <c r="W29" s="20">
        <v>0.34597435593605042</v>
      </c>
      <c r="X29" s="20">
        <v>0.36493435502052307</v>
      </c>
      <c r="Y29" s="59"/>
      <c r="Z29" s="27" t="s">
        <v>50</v>
      </c>
      <c r="AA29" s="28">
        <v>0.43469789624214172</v>
      </c>
      <c r="AB29" s="28">
        <v>0.48341125249862671</v>
      </c>
    </row>
    <row r="30" spans="1:138" x14ac:dyDescent="0.3">
      <c r="L30" s="59"/>
      <c r="M30" s="24" t="s">
        <v>57</v>
      </c>
      <c r="N30" s="25">
        <v>0.32323935627937317</v>
      </c>
      <c r="O30" s="25">
        <v>0.23759269714355469</v>
      </c>
      <c r="P30" s="60"/>
      <c r="Q30" s="24" t="s">
        <v>57</v>
      </c>
      <c r="R30" s="25">
        <v>0.42763984203338623</v>
      </c>
      <c r="S30" s="25">
        <v>0.1904241144657135</v>
      </c>
      <c r="T30" s="59"/>
      <c r="U30" s="9" t="s">
        <v>61</v>
      </c>
      <c r="V30" s="19">
        <v>0.3973747193813324</v>
      </c>
      <c r="W30" s="19">
        <v>0.25106993317604065</v>
      </c>
      <c r="X30" s="19">
        <v>0.20257212221622467</v>
      </c>
      <c r="Y30" s="59"/>
      <c r="Z30" s="24" t="s">
        <v>61</v>
      </c>
      <c r="AA30" s="25">
        <v>0.41819119453430176</v>
      </c>
      <c r="AB30" s="25">
        <v>0.24790495634078979</v>
      </c>
    </row>
    <row r="31" spans="1:138" x14ac:dyDescent="0.3">
      <c r="L31" s="62"/>
      <c r="M31" s="11" t="s">
        <v>61</v>
      </c>
      <c r="N31" s="21">
        <v>0.31732478737831116</v>
      </c>
      <c r="O31" s="21">
        <v>0.22796162962913513</v>
      </c>
      <c r="P31" s="60"/>
      <c r="Q31" s="11" t="s">
        <v>61</v>
      </c>
      <c r="R31" s="21">
        <v>0.37062612175941467</v>
      </c>
      <c r="S31" s="21">
        <v>0.20392952859401703</v>
      </c>
      <c r="T31" s="59"/>
      <c r="U31" s="11" t="s">
        <v>57</v>
      </c>
      <c r="V31" s="21">
        <v>0.38159477710723877</v>
      </c>
      <c r="W31" s="21">
        <v>0.22969019412994385</v>
      </c>
      <c r="X31" s="21">
        <v>0.26555648446083069</v>
      </c>
      <c r="Y31" s="59"/>
      <c r="Z31" s="32" t="s">
        <v>59</v>
      </c>
      <c r="AA31" s="33">
        <v>0.40629091858863831</v>
      </c>
      <c r="AB31" s="33">
        <v>0.37764549255371094</v>
      </c>
    </row>
    <row r="32" spans="1:138" x14ac:dyDescent="0.3">
      <c r="K32" s="10"/>
      <c r="L32" s="10"/>
      <c r="P32" s="10"/>
      <c r="Q32" s="10"/>
      <c r="R32" s="10"/>
      <c r="S32" s="10"/>
      <c r="T32" s="10"/>
      <c r="U32" s="10"/>
      <c r="V32" s="10"/>
      <c r="W32" s="10"/>
      <c r="X32" s="10"/>
      <c r="Y32" s="10"/>
      <c r="Z32" s="10"/>
      <c r="AA32" s="10"/>
    </row>
    <row r="33" spans="1:27" x14ac:dyDescent="0.3">
      <c r="K33" s="10"/>
      <c r="L33" s="10"/>
      <c r="M33" s="10"/>
      <c r="N33" s="10"/>
      <c r="O33" s="10"/>
      <c r="P33" s="10"/>
      <c r="Q33" s="10"/>
      <c r="R33" s="10"/>
      <c r="S33" s="10"/>
      <c r="T33" s="10"/>
      <c r="U33" s="10"/>
      <c r="V33" s="10"/>
      <c r="W33" s="10"/>
      <c r="X33" s="10"/>
      <c r="Y33" s="10"/>
      <c r="Z33" s="10"/>
      <c r="AA33" s="10"/>
    </row>
    <row r="34" spans="1:27" x14ac:dyDescent="0.3">
      <c r="K34" s="10"/>
      <c r="L34" s="10"/>
      <c r="M34" s="10"/>
      <c r="N34" s="10"/>
      <c r="O34" s="10"/>
      <c r="P34" s="10"/>
      <c r="Q34" s="10"/>
      <c r="R34" s="10"/>
      <c r="S34" s="10"/>
      <c r="T34" s="10"/>
      <c r="U34" s="17"/>
      <c r="V34" s="10"/>
      <c r="W34" s="10"/>
      <c r="X34" s="10"/>
      <c r="Y34" s="10"/>
      <c r="Z34" s="17"/>
      <c r="AA34" s="10"/>
    </row>
    <row r="35" spans="1:27" x14ac:dyDescent="0.3">
      <c r="K35" s="10"/>
      <c r="L35" s="10"/>
      <c r="M35" s="17"/>
      <c r="N35" s="10"/>
      <c r="O35" s="10"/>
      <c r="P35" s="10"/>
      <c r="Q35" s="17"/>
      <c r="R35" s="10"/>
      <c r="S35" s="10"/>
      <c r="T35" s="10"/>
      <c r="U35" s="17"/>
      <c r="V35" s="10"/>
      <c r="W35" s="10"/>
      <c r="X35" s="10"/>
      <c r="Y35" s="10"/>
      <c r="Z35" s="17"/>
      <c r="AA35" s="10"/>
    </row>
    <row r="36" spans="1:27" x14ac:dyDescent="0.3">
      <c r="A36" s="6" t="s">
        <v>97</v>
      </c>
      <c r="K36" s="10"/>
      <c r="L36" s="10"/>
      <c r="M36" s="17"/>
      <c r="N36" s="10"/>
      <c r="O36" s="10"/>
      <c r="P36" s="10"/>
      <c r="Q36" s="70"/>
      <c r="R36" s="10"/>
      <c r="S36" s="10"/>
      <c r="T36" s="10"/>
      <c r="U36" s="17"/>
      <c r="V36" s="10"/>
      <c r="W36" s="10"/>
      <c r="X36" s="10"/>
      <c r="Y36" s="10"/>
      <c r="Z36" s="70"/>
      <c r="AA36" s="10"/>
    </row>
    <row r="37" spans="1:27" x14ac:dyDescent="0.3">
      <c r="K37" s="10"/>
      <c r="L37" s="10"/>
      <c r="M37" s="70"/>
      <c r="N37" s="10"/>
      <c r="O37" s="10"/>
      <c r="P37" s="10"/>
      <c r="Q37" s="70"/>
      <c r="R37" s="10"/>
      <c r="S37" s="10"/>
      <c r="T37" s="10"/>
      <c r="U37" s="17"/>
      <c r="V37" s="10"/>
      <c r="W37" s="10"/>
      <c r="X37" s="10"/>
      <c r="Y37" s="10"/>
      <c r="Z37" s="70"/>
      <c r="AA37" s="10"/>
    </row>
    <row r="38" spans="1:27" x14ac:dyDescent="0.3">
      <c r="K38" s="10"/>
      <c r="L38" s="10"/>
      <c r="M38" s="70"/>
      <c r="N38" s="10"/>
      <c r="O38" s="10"/>
      <c r="P38" s="10"/>
      <c r="Q38" s="70"/>
      <c r="R38" s="10"/>
      <c r="S38" s="10"/>
      <c r="T38" s="10"/>
      <c r="U38" s="17"/>
      <c r="V38" s="10"/>
      <c r="W38" s="10"/>
      <c r="X38" s="10"/>
      <c r="Y38" s="10"/>
      <c r="Z38" s="70"/>
      <c r="AA38" s="10"/>
    </row>
    <row r="39" spans="1:27" x14ac:dyDescent="0.3">
      <c r="K39" s="10"/>
      <c r="L39" s="10"/>
      <c r="M39" s="70"/>
      <c r="N39" s="10"/>
      <c r="O39" s="10"/>
      <c r="P39" s="10"/>
      <c r="Q39" s="70"/>
      <c r="R39" s="10"/>
      <c r="S39" s="10"/>
      <c r="T39" s="10"/>
      <c r="U39" s="17"/>
      <c r="V39" s="10"/>
      <c r="W39" s="10"/>
      <c r="X39" s="10"/>
      <c r="Y39" s="10"/>
      <c r="Z39" s="70"/>
      <c r="AA39" s="10"/>
    </row>
    <row r="40" spans="1:27" x14ac:dyDescent="0.3">
      <c r="K40" s="10"/>
      <c r="L40" s="10"/>
      <c r="M40" s="70"/>
      <c r="N40" s="10"/>
      <c r="O40" s="10"/>
      <c r="P40" s="10"/>
      <c r="Q40" s="70"/>
      <c r="R40" s="10"/>
      <c r="S40" s="10"/>
      <c r="T40" s="10"/>
      <c r="U40" s="17"/>
      <c r="V40" s="10"/>
      <c r="W40" s="10"/>
      <c r="X40" s="10"/>
      <c r="Y40" s="10"/>
      <c r="Z40" s="70"/>
      <c r="AA40" s="10"/>
    </row>
    <row r="41" spans="1:27" x14ac:dyDescent="0.3">
      <c r="K41" s="10"/>
      <c r="L41" s="10"/>
      <c r="M41" s="70"/>
      <c r="N41" s="10"/>
      <c r="O41" s="10"/>
      <c r="P41" s="10"/>
      <c r="Q41" s="70"/>
      <c r="R41" s="10"/>
      <c r="S41" s="10"/>
      <c r="T41" s="10"/>
      <c r="U41" s="17"/>
      <c r="V41" s="10"/>
      <c r="W41" s="10"/>
      <c r="X41" s="10"/>
      <c r="Y41" s="10"/>
      <c r="Z41" s="70"/>
      <c r="AA41" s="10"/>
    </row>
    <row r="42" spans="1:27" x14ac:dyDescent="0.3">
      <c r="K42" s="10"/>
      <c r="L42" s="10"/>
      <c r="M42" s="70"/>
      <c r="N42" s="10"/>
      <c r="O42" s="10"/>
      <c r="P42" s="10"/>
      <c r="Q42" s="70"/>
      <c r="R42" s="10"/>
      <c r="S42" s="10"/>
      <c r="T42" s="10"/>
      <c r="U42" s="17"/>
      <c r="V42" s="10"/>
      <c r="W42" s="10"/>
      <c r="X42" s="10"/>
      <c r="Y42" s="10"/>
      <c r="Z42" s="70"/>
      <c r="AA42" s="10"/>
    </row>
    <row r="43" spans="1:27" x14ac:dyDescent="0.3">
      <c r="K43" s="10"/>
      <c r="L43" s="10"/>
      <c r="M43" s="70"/>
      <c r="N43" s="10"/>
      <c r="O43" s="10"/>
      <c r="P43" s="10"/>
      <c r="Q43" s="70"/>
      <c r="R43" s="10"/>
      <c r="S43" s="10"/>
      <c r="T43" s="10"/>
      <c r="U43" s="17"/>
      <c r="V43" s="10"/>
      <c r="W43" s="10"/>
      <c r="X43" s="10"/>
      <c r="Y43" s="10"/>
      <c r="Z43" s="70"/>
      <c r="AA43" s="10"/>
    </row>
    <row r="44" spans="1:27" x14ac:dyDescent="0.3">
      <c r="K44" s="10"/>
      <c r="L44" s="10"/>
      <c r="M44" s="70"/>
      <c r="N44" s="10"/>
      <c r="O44" s="10"/>
      <c r="P44" s="10"/>
      <c r="Q44" s="70"/>
      <c r="R44" s="10"/>
      <c r="S44" s="10"/>
      <c r="T44" s="10"/>
      <c r="U44" s="17"/>
      <c r="V44" s="10"/>
      <c r="W44" s="10"/>
      <c r="X44" s="10"/>
      <c r="Y44" s="10"/>
      <c r="Z44" s="70"/>
      <c r="AA44" s="10"/>
    </row>
    <row r="45" spans="1:27" x14ac:dyDescent="0.3">
      <c r="K45" s="10"/>
      <c r="L45" s="10"/>
      <c r="M45" s="71"/>
      <c r="N45" s="10"/>
      <c r="O45" s="10"/>
      <c r="P45" s="10"/>
      <c r="Q45" s="70"/>
      <c r="R45" s="10"/>
      <c r="S45" s="10"/>
      <c r="T45" s="10"/>
      <c r="U45" s="17"/>
      <c r="V45" s="10"/>
      <c r="W45" s="10"/>
      <c r="X45" s="10"/>
      <c r="Y45" s="10"/>
      <c r="Z45" s="70"/>
      <c r="AA45" s="10"/>
    </row>
    <row r="46" spans="1:27" x14ac:dyDescent="0.3">
      <c r="K46" s="10"/>
      <c r="L46" s="10"/>
      <c r="M46" s="70"/>
      <c r="N46" s="10"/>
      <c r="O46" s="10"/>
      <c r="P46" s="10"/>
      <c r="Q46" s="70"/>
      <c r="R46" s="10"/>
      <c r="S46" s="10"/>
      <c r="T46" s="10"/>
      <c r="U46" s="72"/>
      <c r="V46" s="10"/>
      <c r="W46" s="10"/>
      <c r="X46" s="10"/>
      <c r="Y46" s="10"/>
      <c r="Z46" s="70"/>
      <c r="AA46" s="10"/>
    </row>
    <row r="47" spans="1:27" x14ac:dyDescent="0.3">
      <c r="K47" s="10"/>
      <c r="L47" s="10"/>
      <c r="M47" s="70"/>
      <c r="N47" s="10"/>
      <c r="O47" s="10"/>
      <c r="P47" s="10"/>
      <c r="Q47" s="71"/>
      <c r="R47" s="10"/>
      <c r="S47" s="10"/>
      <c r="T47" s="10"/>
      <c r="U47" s="17"/>
      <c r="V47" s="10"/>
      <c r="W47" s="10"/>
      <c r="X47" s="10"/>
      <c r="Y47" s="10"/>
      <c r="Z47" s="70"/>
      <c r="AA47" s="10"/>
    </row>
    <row r="48" spans="1:27" x14ac:dyDescent="0.3">
      <c r="K48" s="10"/>
      <c r="L48" s="10"/>
      <c r="M48" s="70"/>
      <c r="N48" s="10"/>
      <c r="O48" s="10"/>
      <c r="P48" s="10"/>
      <c r="Q48" s="70"/>
      <c r="R48" s="10"/>
      <c r="S48" s="10"/>
      <c r="T48" s="10"/>
      <c r="U48" s="17"/>
      <c r="V48" s="10"/>
      <c r="W48" s="10"/>
      <c r="X48" s="10"/>
      <c r="Y48" s="10"/>
      <c r="Z48" s="71"/>
      <c r="AA48" s="10"/>
    </row>
    <row r="49" spans="1:27" x14ac:dyDescent="0.3">
      <c r="K49" s="10"/>
      <c r="L49" s="10"/>
      <c r="M49" s="70"/>
      <c r="N49" s="10"/>
      <c r="O49" s="10"/>
      <c r="P49" s="10"/>
      <c r="Q49" s="70"/>
      <c r="R49" s="10"/>
      <c r="S49" s="10"/>
      <c r="T49" s="10"/>
      <c r="U49" s="17"/>
      <c r="V49" s="10"/>
      <c r="W49" s="10"/>
      <c r="X49" s="10"/>
      <c r="Y49" s="10"/>
      <c r="Z49" s="70"/>
      <c r="AA49" s="10"/>
    </row>
    <row r="50" spans="1:27" x14ac:dyDescent="0.3">
      <c r="K50" s="10"/>
      <c r="L50" s="10"/>
      <c r="M50" s="70"/>
      <c r="N50" s="10"/>
      <c r="O50" s="10"/>
      <c r="P50" s="10"/>
      <c r="Q50" s="70"/>
      <c r="R50" s="10"/>
      <c r="S50" s="10"/>
      <c r="T50" s="10"/>
      <c r="U50" s="17"/>
      <c r="V50" s="10"/>
      <c r="W50" s="10"/>
      <c r="X50" s="10"/>
      <c r="Y50" s="10"/>
      <c r="Z50" s="70"/>
      <c r="AA50" s="10"/>
    </row>
    <row r="51" spans="1:27" x14ac:dyDescent="0.3">
      <c r="A51" s="6" t="s">
        <v>98</v>
      </c>
      <c r="K51" s="10"/>
      <c r="L51" s="10"/>
      <c r="M51" s="70"/>
      <c r="N51" s="10"/>
      <c r="O51" s="10"/>
      <c r="P51" s="10"/>
      <c r="Q51" s="70"/>
      <c r="R51" s="10"/>
      <c r="S51" s="10"/>
      <c r="T51" s="10"/>
      <c r="U51" s="17"/>
      <c r="V51" s="10"/>
      <c r="W51" s="10"/>
      <c r="X51" s="10"/>
      <c r="Y51" s="10"/>
      <c r="Z51" s="70"/>
      <c r="AA51" s="10"/>
    </row>
    <row r="52" spans="1:27" x14ac:dyDescent="0.3">
      <c r="K52" s="10"/>
      <c r="L52" s="10"/>
      <c r="M52" s="17"/>
      <c r="N52" s="10"/>
      <c r="O52" s="10"/>
      <c r="P52" s="10"/>
      <c r="Q52" s="70"/>
      <c r="R52" s="10"/>
      <c r="S52" s="10"/>
      <c r="T52" s="10"/>
      <c r="U52" s="17"/>
      <c r="V52" s="10"/>
      <c r="W52" s="10"/>
      <c r="X52" s="10"/>
      <c r="Y52" s="10"/>
      <c r="Z52" s="70"/>
      <c r="AA52" s="10"/>
    </row>
    <row r="53" spans="1:27" x14ac:dyDescent="0.3">
      <c r="K53" s="10"/>
      <c r="L53" s="10"/>
      <c r="M53" s="17"/>
      <c r="N53" s="10"/>
      <c r="O53" s="10"/>
      <c r="P53" s="10"/>
      <c r="Q53" s="70"/>
      <c r="R53" s="10"/>
      <c r="S53" s="10"/>
      <c r="T53" s="10"/>
      <c r="U53" s="17"/>
      <c r="V53" s="10"/>
      <c r="W53" s="10"/>
      <c r="X53" s="10"/>
      <c r="Y53" s="10"/>
      <c r="Z53" s="70"/>
      <c r="AA53" s="10"/>
    </row>
    <row r="54" spans="1:27" x14ac:dyDescent="0.3">
      <c r="K54" s="10"/>
      <c r="L54" s="10"/>
      <c r="M54" s="17"/>
      <c r="N54" s="10"/>
      <c r="O54" s="10"/>
      <c r="P54" s="10"/>
      <c r="Q54" s="70"/>
      <c r="R54" s="10"/>
      <c r="S54" s="10"/>
      <c r="T54" s="10"/>
      <c r="U54" s="17"/>
      <c r="V54" s="10"/>
      <c r="W54" s="10"/>
      <c r="X54" s="10"/>
      <c r="Y54" s="10"/>
      <c r="Z54" s="70"/>
      <c r="AA54" s="10"/>
    </row>
    <row r="55" spans="1:27" x14ac:dyDescent="0.3">
      <c r="K55" s="10"/>
      <c r="L55" s="10"/>
      <c r="M55" s="17"/>
      <c r="N55" s="10"/>
      <c r="O55" s="10"/>
      <c r="P55" s="10"/>
      <c r="Q55" s="70"/>
      <c r="R55" s="10"/>
      <c r="S55" s="10"/>
      <c r="T55" s="10"/>
      <c r="U55" s="17"/>
      <c r="V55" s="10"/>
      <c r="W55" s="10"/>
      <c r="X55" s="10"/>
      <c r="Y55" s="10"/>
      <c r="Z55" s="70"/>
      <c r="AA55" s="10"/>
    </row>
    <row r="56" spans="1:27" x14ac:dyDescent="0.3">
      <c r="K56" s="10"/>
      <c r="L56" s="10"/>
      <c r="M56" s="17"/>
      <c r="N56" s="10"/>
      <c r="O56" s="10"/>
      <c r="P56" s="10"/>
      <c r="Q56" s="70"/>
      <c r="R56" s="10"/>
      <c r="S56" s="10"/>
      <c r="T56" s="10"/>
      <c r="U56" s="17"/>
      <c r="V56" s="10"/>
      <c r="W56" s="10"/>
      <c r="X56" s="10"/>
      <c r="Y56" s="10"/>
      <c r="Z56" s="70"/>
      <c r="AA56" s="10"/>
    </row>
    <row r="57" spans="1:27" x14ac:dyDescent="0.3">
      <c r="K57" s="10"/>
      <c r="L57" s="10"/>
      <c r="M57" s="17"/>
      <c r="N57" s="10"/>
      <c r="O57" s="10"/>
      <c r="P57" s="10"/>
      <c r="Q57" s="70"/>
      <c r="R57" s="10"/>
      <c r="S57" s="10"/>
      <c r="T57" s="10"/>
      <c r="U57" s="17"/>
      <c r="V57" s="10"/>
      <c r="W57" s="10"/>
      <c r="X57" s="10"/>
      <c r="Y57" s="10"/>
      <c r="Z57" s="70"/>
      <c r="AA57" s="10"/>
    </row>
    <row r="58" spans="1:27" x14ac:dyDescent="0.3">
      <c r="K58" s="10"/>
      <c r="L58" s="10"/>
      <c r="M58" s="17"/>
      <c r="N58" s="10"/>
      <c r="O58" s="10"/>
      <c r="P58" s="10"/>
      <c r="Q58" s="70"/>
      <c r="R58" s="10"/>
      <c r="S58" s="10"/>
      <c r="T58" s="10"/>
      <c r="U58" s="17"/>
      <c r="V58" s="10"/>
      <c r="W58" s="10"/>
      <c r="X58" s="10"/>
      <c r="Y58" s="10"/>
      <c r="Z58" s="70"/>
      <c r="AA58" s="10"/>
    </row>
    <row r="59" spans="1:27" x14ac:dyDescent="0.3">
      <c r="K59" s="10"/>
      <c r="L59" s="10"/>
      <c r="M59" s="17"/>
      <c r="N59" s="10"/>
      <c r="O59" s="10"/>
      <c r="P59" s="10"/>
      <c r="Q59" s="70"/>
      <c r="R59" s="10"/>
      <c r="S59" s="10"/>
      <c r="T59" s="10"/>
      <c r="U59" s="17"/>
      <c r="V59" s="10"/>
      <c r="W59" s="10"/>
      <c r="X59" s="10"/>
      <c r="Y59" s="10"/>
      <c r="Z59" s="70"/>
      <c r="AA59" s="10"/>
    </row>
    <row r="60" spans="1:27" x14ac:dyDescent="0.3">
      <c r="K60" s="10"/>
      <c r="L60" s="10"/>
      <c r="M60" s="17"/>
      <c r="N60" s="10"/>
      <c r="O60" s="10"/>
      <c r="P60" s="10"/>
      <c r="Q60" s="70"/>
      <c r="R60" s="10"/>
      <c r="S60" s="10"/>
      <c r="T60" s="10"/>
      <c r="U60" s="17"/>
      <c r="V60" s="10"/>
      <c r="W60" s="10"/>
      <c r="X60" s="10"/>
      <c r="Y60" s="10"/>
      <c r="Z60" s="70"/>
      <c r="AA60" s="10"/>
    </row>
    <row r="61" spans="1:27" x14ac:dyDescent="0.3">
      <c r="K61" s="10"/>
      <c r="L61" s="10"/>
      <c r="M61" s="17"/>
      <c r="N61" s="10"/>
      <c r="O61" s="10"/>
      <c r="P61" s="10"/>
      <c r="Q61" s="70"/>
      <c r="R61" s="10"/>
      <c r="S61" s="10"/>
      <c r="T61" s="10"/>
      <c r="U61" s="17"/>
      <c r="V61" s="10"/>
      <c r="W61" s="10"/>
      <c r="X61" s="10"/>
      <c r="Y61" s="10"/>
      <c r="Z61" s="70"/>
      <c r="AA61" s="10"/>
    </row>
    <row r="62" spans="1:27" x14ac:dyDescent="0.3">
      <c r="K62" s="10"/>
      <c r="L62" s="10"/>
      <c r="M62" s="10"/>
      <c r="N62" s="10"/>
      <c r="O62" s="10"/>
      <c r="P62" s="10"/>
      <c r="Q62" s="10"/>
      <c r="R62" s="10"/>
      <c r="S62" s="10"/>
      <c r="T62" s="10"/>
      <c r="U62" s="10"/>
      <c r="V62" s="10"/>
      <c r="W62" s="10"/>
      <c r="X62" s="10"/>
      <c r="Y62" s="10"/>
      <c r="Z62" s="10"/>
      <c r="AA62" s="10"/>
    </row>
    <row r="63" spans="1:27" x14ac:dyDescent="0.3">
      <c r="K63" s="10"/>
      <c r="L63" s="10"/>
      <c r="M63" s="10"/>
      <c r="N63" s="10"/>
      <c r="O63" s="10"/>
      <c r="P63" s="10"/>
      <c r="Q63" s="10"/>
      <c r="R63" s="10"/>
      <c r="S63" s="10"/>
      <c r="T63" s="10"/>
      <c r="U63" s="10"/>
      <c r="V63" s="10"/>
      <c r="W63" s="10"/>
      <c r="X63" s="10"/>
      <c r="Y63" s="10"/>
      <c r="Z63" s="10"/>
      <c r="AA63" s="10"/>
    </row>
    <row r="64" spans="1:27" x14ac:dyDescent="0.3">
      <c r="K64" s="10"/>
      <c r="L64" s="10"/>
      <c r="M64" s="10"/>
      <c r="N64" s="10"/>
      <c r="O64" s="10"/>
      <c r="P64" s="10"/>
      <c r="Q64" s="10"/>
      <c r="R64" s="10"/>
      <c r="S64" s="10"/>
      <c r="T64" s="10"/>
      <c r="U64" s="10"/>
      <c r="V64" s="10"/>
      <c r="W64" s="10"/>
      <c r="X64" s="10"/>
      <c r="Y64" s="10"/>
      <c r="Z64" s="10"/>
      <c r="AA64" s="10"/>
    </row>
    <row r="65" spans="1:27" x14ac:dyDescent="0.3">
      <c r="K65" s="10"/>
      <c r="L65" s="10"/>
      <c r="M65" s="10"/>
      <c r="N65" s="10"/>
      <c r="O65" s="10"/>
      <c r="P65" s="10"/>
      <c r="Q65" s="10"/>
      <c r="R65" s="10"/>
      <c r="S65" s="10"/>
      <c r="T65" s="10"/>
      <c r="U65" s="10"/>
      <c r="V65" s="10"/>
      <c r="W65" s="10"/>
      <c r="X65" s="10"/>
      <c r="Y65" s="10"/>
      <c r="Z65" s="10"/>
      <c r="AA65" s="10"/>
    </row>
    <row r="66" spans="1:27" x14ac:dyDescent="0.3">
      <c r="A66" s="100" t="s">
        <v>106</v>
      </c>
      <c r="B66" s="100"/>
      <c r="C66" s="100"/>
      <c r="D66" s="100"/>
      <c r="E66" s="100"/>
      <c r="F66" s="100"/>
      <c r="G66" s="100"/>
      <c r="H66" s="100"/>
      <c r="I66" s="100"/>
      <c r="K66" s="10"/>
      <c r="L66" s="10"/>
      <c r="M66" s="10"/>
      <c r="N66" s="10"/>
      <c r="O66" s="10"/>
      <c r="P66" s="10"/>
      <c r="Q66" s="10"/>
      <c r="R66" s="10"/>
      <c r="S66" s="10"/>
      <c r="T66" s="10"/>
      <c r="U66" s="10"/>
      <c r="V66" s="10"/>
      <c r="W66" s="10"/>
      <c r="X66" s="10"/>
      <c r="Y66" s="10"/>
      <c r="Z66" s="10"/>
      <c r="AA66" s="10"/>
    </row>
    <row r="67" spans="1:27" x14ac:dyDescent="0.3">
      <c r="A67" s="100"/>
      <c r="B67" s="100"/>
      <c r="C67" s="100"/>
      <c r="D67" s="100"/>
      <c r="E67" s="100"/>
      <c r="F67" s="100"/>
      <c r="G67" s="100"/>
      <c r="H67" s="100"/>
      <c r="I67" s="100"/>
      <c r="K67" s="10"/>
      <c r="L67" s="10"/>
      <c r="M67" s="10"/>
      <c r="N67" s="10"/>
      <c r="O67" s="10"/>
      <c r="P67" s="10"/>
      <c r="Q67" s="10"/>
      <c r="R67" s="10"/>
      <c r="S67" s="10"/>
      <c r="T67" s="10"/>
      <c r="U67" s="10"/>
      <c r="V67" s="10"/>
      <c r="W67" s="10"/>
      <c r="X67" s="10"/>
      <c r="Y67" s="10"/>
      <c r="Z67" s="10"/>
      <c r="AA67" s="10"/>
    </row>
    <row r="68" spans="1:27" ht="16.5" customHeight="1" x14ac:dyDescent="0.3">
      <c r="A68" s="97" t="s">
        <v>112</v>
      </c>
      <c r="B68" s="97"/>
      <c r="C68" s="97"/>
      <c r="D68" s="97"/>
      <c r="E68" s="97"/>
      <c r="F68" s="97"/>
      <c r="G68" s="97"/>
      <c r="H68" s="97"/>
      <c r="I68" s="97"/>
      <c r="J68" s="90"/>
      <c r="K68" s="10"/>
      <c r="L68" s="10"/>
      <c r="M68" s="10"/>
      <c r="N68" s="10"/>
      <c r="O68" s="10"/>
      <c r="P68" s="10"/>
      <c r="Q68" s="10"/>
      <c r="R68" s="10"/>
      <c r="S68" s="10"/>
      <c r="T68" s="10"/>
      <c r="U68" s="10"/>
      <c r="V68" s="10"/>
      <c r="W68" s="10"/>
      <c r="X68" s="10"/>
      <c r="Y68" s="10"/>
      <c r="Z68" s="10"/>
      <c r="AA68" s="10"/>
    </row>
    <row r="69" spans="1:27" x14ac:dyDescent="0.3">
      <c r="A69" s="97"/>
      <c r="B69" s="97"/>
      <c r="C69" s="97"/>
      <c r="D69" s="97"/>
      <c r="E69" s="97"/>
      <c r="F69" s="97"/>
      <c r="G69" s="97"/>
      <c r="H69" s="97"/>
      <c r="I69" s="97"/>
      <c r="J69" s="90"/>
      <c r="K69" s="10"/>
      <c r="L69" s="10"/>
      <c r="M69" s="10"/>
      <c r="N69" s="10"/>
      <c r="O69" s="10"/>
      <c r="P69" s="10"/>
      <c r="Q69" s="10"/>
      <c r="R69" s="10"/>
      <c r="S69" s="10"/>
      <c r="T69" s="10"/>
      <c r="U69" s="10"/>
      <c r="V69" s="10"/>
      <c r="W69" s="10"/>
      <c r="X69" s="10"/>
      <c r="Y69" s="10"/>
      <c r="Z69" s="10"/>
      <c r="AA69" s="10"/>
    </row>
    <row r="70" spans="1:27" x14ac:dyDescent="0.3">
      <c r="K70" s="10"/>
      <c r="L70" s="10"/>
      <c r="M70" s="10"/>
      <c r="N70" s="10"/>
      <c r="O70" s="10"/>
      <c r="P70" s="10"/>
      <c r="Q70" s="10"/>
      <c r="R70" s="10"/>
      <c r="S70" s="10"/>
      <c r="T70" s="10"/>
      <c r="U70" s="10"/>
      <c r="V70" s="10"/>
      <c r="W70" s="10"/>
      <c r="X70" s="10"/>
      <c r="Y70" s="10"/>
      <c r="Z70" s="10"/>
      <c r="AA70" s="10"/>
    </row>
    <row r="71" spans="1:27" ht="16.5" customHeight="1" x14ac:dyDescent="0.3">
      <c r="A71" s="97" t="s">
        <v>94</v>
      </c>
      <c r="B71" s="97"/>
      <c r="C71" s="97"/>
      <c r="D71" s="97"/>
      <c r="E71" s="97"/>
      <c r="F71" s="97"/>
      <c r="G71" s="97"/>
      <c r="H71" s="97"/>
      <c r="I71" s="97"/>
      <c r="J71" s="90"/>
      <c r="M71" s="10"/>
      <c r="N71" s="10"/>
      <c r="O71" s="10"/>
    </row>
    <row r="72" spans="1:27" ht="27" customHeight="1" x14ac:dyDescent="0.3">
      <c r="A72" s="97"/>
      <c r="B72" s="97"/>
      <c r="C72" s="97"/>
      <c r="D72" s="97"/>
      <c r="E72" s="97"/>
      <c r="F72" s="97"/>
      <c r="G72" s="97"/>
      <c r="H72" s="97"/>
      <c r="I72" s="97"/>
      <c r="J72" s="90"/>
    </row>
    <row r="73" spans="1:27" x14ac:dyDescent="0.3">
      <c r="A73" s="16"/>
      <c r="B73" s="16"/>
      <c r="C73" s="16"/>
      <c r="D73" s="16"/>
      <c r="E73" s="16"/>
      <c r="F73" s="16"/>
      <c r="G73" s="16"/>
      <c r="H73" s="16"/>
      <c r="I73" s="16"/>
      <c r="J73" s="16"/>
    </row>
    <row r="74" spans="1:27" x14ac:dyDescent="0.3">
      <c r="A74" s="78" t="s">
        <v>84</v>
      </c>
      <c r="B74" s="79"/>
      <c r="C74" s="79"/>
      <c r="D74" s="79"/>
      <c r="E74" s="79"/>
      <c r="F74" s="79"/>
      <c r="G74" s="79"/>
      <c r="H74" s="79"/>
      <c r="I74" s="79"/>
      <c r="J74" s="79"/>
    </row>
    <row r="75" spans="1:27" x14ac:dyDescent="0.3">
      <c r="A75" s="80"/>
      <c r="B75" s="80"/>
      <c r="C75" s="80"/>
      <c r="D75" s="80"/>
      <c r="E75" s="80"/>
      <c r="F75" s="80"/>
      <c r="G75" s="80"/>
      <c r="H75" s="80"/>
      <c r="I75" s="80"/>
      <c r="J75" s="80"/>
    </row>
    <row r="76" spans="1:27" x14ac:dyDescent="0.3">
      <c r="A76" s="81" t="s">
        <v>101</v>
      </c>
      <c r="B76" s="81"/>
      <c r="C76" s="81"/>
      <c r="D76" s="81"/>
      <c r="E76" s="81"/>
      <c r="F76" s="81"/>
      <c r="G76" s="81"/>
      <c r="H76" s="81"/>
      <c r="I76" s="81"/>
      <c r="J76" s="81"/>
    </row>
  </sheetData>
  <sortState xmlns:xlrd2="http://schemas.microsoft.com/office/spreadsheetml/2017/richdata2" ref="M4:O31">
    <sortCondition descending="1" ref="N4:N31"/>
  </sortState>
  <mergeCells count="10">
    <mergeCell ref="A71:I72"/>
    <mergeCell ref="A68:I69"/>
    <mergeCell ref="AA1:AB2"/>
    <mergeCell ref="R1:S2"/>
    <mergeCell ref="V1:X2"/>
    <mergeCell ref="N1:O2"/>
    <mergeCell ref="A66:I67"/>
    <mergeCell ref="A1:I1"/>
    <mergeCell ref="A2:I4"/>
    <mergeCell ref="A6:I6"/>
  </mergeCells>
  <conditionalFormatting sqref="L4:L31">
    <cfRule type="cellIs" dxfId="2" priority="3" operator="greaterThan">
      <formula>0.1</formula>
    </cfRule>
  </conditionalFormatting>
  <conditionalFormatting sqref="Y4:Y31">
    <cfRule type="cellIs" dxfId="1" priority="2" operator="greaterThan">
      <formula>0</formula>
    </cfRule>
  </conditionalFormatting>
  <hyperlinks>
    <hyperlink ref="A74" r:id="rId1" xr:uid="{0724092F-4A0E-47A1-BAA7-7FD0AB974270}"/>
  </hyperlinks>
  <pageMargins left="0.7" right="0.7" top="0.75" bottom="0.75" header="0.3" footer="0.3"/>
  <pageSetup paperSize="9" orientation="portrait"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92FAE-267D-4B7C-8025-71C1C5DB44BC}">
  <sheetPr>
    <pageSetUpPr fitToPage="1"/>
  </sheetPr>
  <dimension ref="A1:AB78"/>
  <sheetViews>
    <sheetView zoomScaleNormal="100" workbookViewId="0">
      <selection sqref="A1:K1"/>
    </sheetView>
  </sheetViews>
  <sheetFormatPr defaultColWidth="8.7109375" defaultRowHeight="15" x14ac:dyDescent="0.25"/>
  <cols>
    <col min="1" max="1" width="16.42578125" style="41" customWidth="1"/>
    <col min="2" max="13" width="8.7109375" style="41"/>
    <col min="14" max="14" width="18.7109375" style="41" customWidth="1"/>
    <col min="15" max="15" width="14" style="41" customWidth="1"/>
    <col min="16" max="18" width="8" style="43" customWidth="1"/>
    <col min="19" max="19" width="11.140625" style="43" customWidth="1"/>
    <col min="20" max="24" width="8" style="43" customWidth="1"/>
    <col min="25" max="25" width="8.7109375" style="41"/>
    <col min="26" max="26" width="11.5703125" style="41" customWidth="1"/>
    <col min="27" max="16384" width="8.7109375" style="41"/>
  </cols>
  <sheetData>
    <row r="1" spans="1:28" ht="16.5" customHeight="1" x14ac:dyDescent="0.25">
      <c r="A1" s="105" t="s">
        <v>103</v>
      </c>
      <c r="B1" s="105"/>
      <c r="C1" s="105"/>
      <c r="D1" s="105"/>
      <c r="E1" s="105"/>
      <c r="F1" s="105"/>
      <c r="G1" s="105"/>
      <c r="H1" s="105"/>
      <c r="I1" s="105"/>
      <c r="J1" s="105"/>
      <c r="K1" s="105"/>
      <c r="L1" s="86"/>
      <c r="N1" s="102" t="s">
        <v>91</v>
      </c>
      <c r="O1" s="102"/>
    </row>
    <row r="2" spans="1:28" ht="14.45" customHeight="1" x14ac:dyDescent="0.25">
      <c r="A2" s="106" t="s">
        <v>116</v>
      </c>
      <c r="B2" s="106"/>
      <c r="C2" s="106"/>
      <c r="D2" s="106"/>
      <c r="E2" s="106"/>
      <c r="F2" s="106"/>
      <c r="G2" s="106"/>
      <c r="H2" s="106"/>
      <c r="I2" s="106"/>
      <c r="J2" s="106"/>
      <c r="K2" s="106"/>
      <c r="L2" s="87"/>
      <c r="N2" s="42"/>
      <c r="O2" s="82"/>
    </row>
    <row r="3" spans="1:28" ht="14.45" customHeight="1" x14ac:dyDescent="0.25">
      <c r="A3" s="106"/>
      <c r="B3" s="106"/>
      <c r="C3" s="106"/>
      <c r="D3" s="106"/>
      <c r="E3" s="106"/>
      <c r="F3" s="106"/>
      <c r="G3" s="106"/>
      <c r="H3" s="106"/>
      <c r="I3" s="106"/>
      <c r="J3" s="106"/>
      <c r="K3" s="106"/>
      <c r="L3" s="87"/>
      <c r="N3" s="44" t="s">
        <v>40</v>
      </c>
      <c r="O3" s="63">
        <v>0.21</v>
      </c>
      <c r="P3" s="68"/>
      <c r="R3" s="69"/>
    </row>
    <row r="4" spans="1:28" ht="15" customHeight="1" x14ac:dyDescent="0.25">
      <c r="N4" s="45" t="s">
        <v>78</v>
      </c>
      <c r="O4" s="64">
        <v>0.18</v>
      </c>
      <c r="P4" s="68"/>
      <c r="R4" s="69"/>
      <c r="S4" s="47"/>
      <c r="Z4" s="47"/>
    </row>
    <row r="5" spans="1:28" ht="15" customHeight="1" x14ac:dyDescent="0.25">
      <c r="N5" s="44" t="s">
        <v>42</v>
      </c>
      <c r="O5" s="63">
        <v>0.15</v>
      </c>
      <c r="P5" s="68"/>
      <c r="R5" s="69"/>
    </row>
    <row r="6" spans="1:28" ht="15" customHeight="1" x14ac:dyDescent="0.25">
      <c r="N6" s="45" t="s">
        <v>50</v>
      </c>
      <c r="O6" s="64">
        <v>0.15</v>
      </c>
      <c r="P6" s="68"/>
      <c r="R6" s="69"/>
      <c r="S6" s="47"/>
      <c r="Z6" s="47"/>
    </row>
    <row r="7" spans="1:28" ht="15" customHeight="1" x14ac:dyDescent="0.25">
      <c r="N7" s="44" t="s">
        <v>60</v>
      </c>
      <c r="O7" s="63">
        <v>0.15</v>
      </c>
      <c r="P7" s="68"/>
      <c r="R7" s="69"/>
      <c r="S7" s="48"/>
      <c r="Z7" s="49"/>
      <c r="AB7" s="49"/>
    </row>
    <row r="8" spans="1:28" ht="15" customHeight="1" x14ac:dyDescent="0.25">
      <c r="N8" s="45" t="s">
        <v>79</v>
      </c>
      <c r="O8" s="64">
        <v>0.14000000000000001</v>
      </c>
      <c r="P8" s="68"/>
      <c r="R8" s="69"/>
      <c r="S8" s="48"/>
      <c r="Z8" s="49"/>
      <c r="AB8" s="49"/>
    </row>
    <row r="9" spans="1:28" ht="15" customHeight="1" x14ac:dyDescent="0.25">
      <c r="N9" s="44" t="s">
        <v>47</v>
      </c>
      <c r="O9" s="63">
        <v>0.14000000000000001</v>
      </c>
      <c r="P9" s="68"/>
      <c r="R9" s="69"/>
      <c r="S9" s="48"/>
      <c r="Z9" s="49"/>
      <c r="AB9" s="49"/>
    </row>
    <row r="10" spans="1:28" ht="15" customHeight="1" x14ac:dyDescent="0.25">
      <c r="N10" s="45" t="s">
        <v>55</v>
      </c>
      <c r="O10" s="64">
        <v>0.12</v>
      </c>
      <c r="P10" s="68"/>
      <c r="R10" s="69"/>
      <c r="S10" s="48"/>
      <c r="Z10" s="49"/>
      <c r="AB10" s="49"/>
    </row>
    <row r="11" spans="1:28" ht="15" customHeight="1" x14ac:dyDescent="0.25">
      <c r="N11" s="44" t="s">
        <v>81</v>
      </c>
      <c r="O11" s="63">
        <v>0.12</v>
      </c>
      <c r="P11" s="68"/>
      <c r="R11" s="69"/>
      <c r="S11" s="48"/>
      <c r="Z11" s="49"/>
      <c r="AB11" s="49"/>
    </row>
    <row r="12" spans="1:28" ht="15" customHeight="1" x14ac:dyDescent="0.25">
      <c r="N12" s="45" t="s">
        <v>58</v>
      </c>
      <c r="O12" s="64">
        <v>0.11</v>
      </c>
      <c r="P12" s="68"/>
      <c r="R12" s="69"/>
      <c r="S12" s="48"/>
      <c r="Z12" s="49"/>
      <c r="AB12" s="49"/>
    </row>
    <row r="13" spans="1:28" ht="15" customHeight="1" x14ac:dyDescent="0.25">
      <c r="N13" s="44" t="s">
        <v>38</v>
      </c>
      <c r="O13" s="63">
        <v>0.11</v>
      </c>
      <c r="P13" s="68"/>
      <c r="R13" s="69"/>
      <c r="S13" s="48"/>
      <c r="Z13" s="49"/>
      <c r="AB13" s="49"/>
    </row>
    <row r="14" spans="1:28" ht="15" customHeight="1" x14ac:dyDescent="0.25">
      <c r="N14" s="45" t="s">
        <v>54</v>
      </c>
      <c r="O14" s="64">
        <v>0.11</v>
      </c>
      <c r="P14" s="68"/>
      <c r="R14" s="69"/>
      <c r="S14" s="48"/>
      <c r="Z14" s="49"/>
      <c r="AB14" s="49"/>
    </row>
    <row r="15" spans="1:28" ht="15" customHeight="1" x14ac:dyDescent="0.25">
      <c r="N15" s="44" t="s">
        <v>118</v>
      </c>
      <c r="O15" s="63">
        <v>0.1</v>
      </c>
      <c r="P15" s="92"/>
      <c r="R15" s="69"/>
      <c r="S15" s="48"/>
      <c r="Z15" s="49"/>
      <c r="AB15" s="49"/>
    </row>
    <row r="16" spans="1:28" ht="15" customHeight="1" x14ac:dyDescent="0.25">
      <c r="N16" s="45" t="s">
        <v>99</v>
      </c>
      <c r="O16" s="64">
        <v>0.10337828698375413</v>
      </c>
      <c r="P16" s="92"/>
      <c r="R16" s="69"/>
      <c r="S16" s="48"/>
      <c r="Z16" s="49"/>
      <c r="AB16" s="49"/>
    </row>
    <row r="17" spans="1:28" ht="15" customHeight="1" x14ac:dyDescent="0.25">
      <c r="N17" s="44" t="s">
        <v>89</v>
      </c>
      <c r="O17" s="63">
        <v>0.1</v>
      </c>
      <c r="P17" s="68"/>
      <c r="R17" s="69"/>
      <c r="S17" s="48"/>
      <c r="Z17" s="49"/>
      <c r="AB17" s="49"/>
    </row>
    <row r="18" spans="1:28" ht="15" customHeight="1" x14ac:dyDescent="0.25">
      <c r="A18" s="107" t="s">
        <v>120</v>
      </c>
      <c r="B18" s="107"/>
      <c r="C18" s="107"/>
      <c r="D18" s="107"/>
      <c r="E18" s="107"/>
      <c r="F18" s="107"/>
      <c r="G18" s="107"/>
      <c r="H18" s="107"/>
      <c r="I18" s="107"/>
      <c r="J18" s="107"/>
      <c r="K18" s="107"/>
      <c r="N18" s="45" t="s">
        <v>90</v>
      </c>
      <c r="O18" s="64">
        <v>0.09</v>
      </c>
      <c r="P18" s="68"/>
      <c r="R18" s="69"/>
      <c r="S18" s="48"/>
      <c r="Z18" s="49"/>
      <c r="AB18" s="49"/>
    </row>
    <row r="19" spans="1:28" ht="15" customHeight="1" x14ac:dyDescent="0.25">
      <c r="A19" s="107"/>
      <c r="B19" s="107"/>
      <c r="C19" s="107"/>
      <c r="D19" s="107"/>
      <c r="E19" s="107"/>
      <c r="F19" s="107"/>
      <c r="G19" s="107"/>
      <c r="H19" s="107"/>
      <c r="I19" s="107"/>
      <c r="J19" s="107"/>
      <c r="K19" s="107"/>
      <c r="N19" s="44" t="s">
        <v>62</v>
      </c>
      <c r="O19" s="63">
        <v>0.09</v>
      </c>
      <c r="P19" s="68"/>
      <c r="R19" s="69"/>
      <c r="S19" s="48"/>
      <c r="Z19" s="49"/>
      <c r="AB19" s="49"/>
    </row>
    <row r="20" spans="1:28" ht="15" customHeight="1" x14ac:dyDescent="0.25">
      <c r="A20" s="107"/>
      <c r="B20" s="107"/>
      <c r="C20" s="107"/>
      <c r="D20" s="107"/>
      <c r="E20" s="107"/>
      <c r="F20" s="107"/>
      <c r="G20" s="107"/>
      <c r="H20" s="107"/>
      <c r="I20" s="107"/>
      <c r="J20" s="107"/>
      <c r="K20" s="107"/>
      <c r="N20" s="45" t="s">
        <v>41</v>
      </c>
      <c r="O20" s="64">
        <v>0.09</v>
      </c>
      <c r="P20" s="68"/>
      <c r="R20" s="69"/>
      <c r="S20" s="48"/>
      <c r="Z20" s="49"/>
      <c r="AB20" s="49"/>
    </row>
    <row r="21" spans="1:28" ht="15" customHeight="1" x14ac:dyDescent="0.25">
      <c r="A21" s="107"/>
      <c r="B21" s="107"/>
      <c r="C21" s="107"/>
      <c r="D21" s="107"/>
      <c r="E21" s="107"/>
      <c r="F21" s="107"/>
      <c r="G21" s="107"/>
      <c r="H21" s="107"/>
      <c r="I21" s="107"/>
      <c r="J21" s="107"/>
      <c r="K21" s="107"/>
      <c r="N21" s="44" t="s">
        <v>86</v>
      </c>
      <c r="O21" s="63">
        <v>0.09</v>
      </c>
      <c r="P21" s="68"/>
      <c r="R21" s="69"/>
      <c r="S21" s="48"/>
      <c r="Z21" s="49"/>
      <c r="AB21" s="49"/>
    </row>
    <row r="22" spans="1:28" ht="15" customHeight="1" x14ac:dyDescent="0.25">
      <c r="A22" s="107"/>
      <c r="B22" s="107"/>
      <c r="C22" s="107"/>
      <c r="D22" s="107"/>
      <c r="E22" s="107"/>
      <c r="F22" s="107"/>
      <c r="G22" s="107"/>
      <c r="H22" s="107"/>
      <c r="I22" s="107"/>
      <c r="J22" s="107"/>
      <c r="K22" s="107"/>
      <c r="L22" s="51"/>
      <c r="N22" s="45" t="s">
        <v>83</v>
      </c>
      <c r="O22" s="64">
        <v>0.09</v>
      </c>
      <c r="P22" s="68"/>
      <c r="R22" s="69"/>
      <c r="S22" s="48"/>
      <c r="Z22" s="49"/>
      <c r="AB22" s="49"/>
    </row>
    <row r="23" spans="1:28" x14ac:dyDescent="0.25">
      <c r="A23" s="107"/>
      <c r="B23" s="107"/>
      <c r="C23" s="107"/>
      <c r="D23" s="107"/>
      <c r="E23" s="107"/>
      <c r="F23" s="107"/>
      <c r="G23" s="107"/>
      <c r="H23" s="107"/>
      <c r="I23" s="107"/>
      <c r="J23" s="107"/>
      <c r="K23" s="107"/>
      <c r="L23" s="51"/>
      <c r="N23" s="44" t="s">
        <v>57</v>
      </c>
      <c r="O23" s="63">
        <v>0.09</v>
      </c>
      <c r="P23" s="68"/>
      <c r="R23" s="69"/>
      <c r="S23" s="48"/>
      <c r="Z23" s="49"/>
      <c r="AB23" s="49"/>
    </row>
    <row r="24" spans="1:28" s="51" customFormat="1" ht="18" customHeight="1" x14ac:dyDescent="0.25">
      <c r="A24" s="83"/>
      <c r="B24" s="83"/>
      <c r="C24" s="83"/>
      <c r="D24" s="83"/>
      <c r="E24" s="83"/>
      <c r="F24" s="83"/>
      <c r="G24" s="83"/>
      <c r="H24" s="83"/>
      <c r="I24" s="83"/>
      <c r="J24" s="83"/>
      <c r="K24" s="83"/>
      <c r="M24" s="41"/>
      <c r="N24" s="45" t="s">
        <v>59</v>
      </c>
      <c r="O24" s="64">
        <v>0.08</v>
      </c>
      <c r="P24" s="68"/>
      <c r="Q24" s="43"/>
      <c r="R24" s="69"/>
      <c r="S24" s="53"/>
      <c r="T24" s="52"/>
      <c r="U24" s="52"/>
      <c r="V24" s="52"/>
      <c r="W24" s="52"/>
      <c r="X24" s="52"/>
      <c r="Z24" s="54"/>
      <c r="AB24" s="54"/>
    </row>
    <row r="25" spans="1:28" s="51" customFormat="1" ht="15" customHeight="1" x14ac:dyDescent="0.25">
      <c r="A25" s="104" t="s">
        <v>107</v>
      </c>
      <c r="B25" s="104"/>
      <c r="C25" s="104"/>
      <c r="D25" s="104"/>
      <c r="E25" s="104"/>
      <c r="F25" s="104"/>
      <c r="G25" s="104"/>
      <c r="H25" s="104"/>
      <c r="I25" s="104"/>
      <c r="J25" s="104"/>
      <c r="K25" s="104"/>
      <c r="M25" s="41"/>
      <c r="N25" s="44" t="s">
        <v>49</v>
      </c>
      <c r="O25" s="63">
        <v>0.08</v>
      </c>
      <c r="P25" s="68"/>
      <c r="Q25" s="43"/>
      <c r="R25" s="69"/>
      <c r="S25" s="53"/>
      <c r="T25" s="52"/>
      <c r="U25" s="52"/>
      <c r="V25" s="52"/>
      <c r="W25" s="52"/>
      <c r="X25" s="52"/>
      <c r="Z25" s="54"/>
      <c r="AB25" s="54"/>
    </row>
    <row r="26" spans="1:28" s="51" customFormat="1" ht="15" customHeight="1" x14ac:dyDescent="0.25">
      <c r="A26" s="104"/>
      <c r="B26" s="104"/>
      <c r="C26" s="104"/>
      <c r="D26" s="104"/>
      <c r="E26" s="104"/>
      <c r="F26" s="104"/>
      <c r="G26" s="104"/>
      <c r="H26" s="104"/>
      <c r="I26" s="104"/>
      <c r="J26" s="104"/>
      <c r="K26" s="104"/>
      <c r="M26" s="41"/>
      <c r="N26" s="45" t="s">
        <v>80</v>
      </c>
      <c r="O26" s="64">
        <v>7.0000000000000007E-2</v>
      </c>
      <c r="P26" s="68"/>
      <c r="Q26" s="43"/>
      <c r="R26" s="69"/>
      <c r="S26" s="53"/>
      <c r="T26" s="52"/>
      <c r="U26" s="52"/>
      <c r="V26" s="52"/>
      <c r="W26" s="52"/>
      <c r="X26" s="52"/>
      <c r="Z26" s="54"/>
      <c r="AB26" s="54"/>
    </row>
    <row r="27" spans="1:28" s="51" customFormat="1" ht="28.5" customHeight="1" x14ac:dyDescent="0.25">
      <c r="A27" s="55" t="s">
        <v>84</v>
      </c>
      <c r="B27" s="56"/>
      <c r="M27" s="41"/>
      <c r="N27" s="44" t="s">
        <v>82</v>
      </c>
      <c r="O27" s="63">
        <v>7.0000000000000007E-2</v>
      </c>
      <c r="P27" s="68"/>
      <c r="Q27" s="43"/>
      <c r="R27" s="69"/>
      <c r="S27" s="53"/>
      <c r="T27" s="52"/>
      <c r="U27" s="52"/>
      <c r="V27" s="52"/>
      <c r="W27" s="52"/>
      <c r="X27" s="52"/>
      <c r="Z27" s="54"/>
      <c r="AB27" s="54"/>
    </row>
    <row r="28" spans="1:28" s="51" customFormat="1" ht="15" customHeight="1" x14ac:dyDescent="0.25">
      <c r="A28" s="103" t="s">
        <v>85</v>
      </c>
      <c r="B28" s="103"/>
      <c r="C28" s="103"/>
      <c r="D28" s="103"/>
      <c r="E28" s="103"/>
      <c r="F28" s="103"/>
      <c r="G28" s="103"/>
      <c r="H28" s="103"/>
      <c r="I28" s="103"/>
      <c r="J28" s="103"/>
      <c r="K28" s="103"/>
      <c r="M28" s="41"/>
      <c r="N28" s="45" t="s">
        <v>111</v>
      </c>
      <c r="O28" s="64">
        <v>6.7565739675081976E-2</v>
      </c>
      <c r="P28" s="68"/>
      <c r="Q28" s="43"/>
      <c r="R28" s="69"/>
      <c r="S28" s="53"/>
      <c r="T28" s="52"/>
      <c r="U28" s="52"/>
      <c r="V28" s="52"/>
      <c r="W28" s="52"/>
      <c r="X28" s="52"/>
      <c r="Z28" s="54"/>
      <c r="AB28" s="54"/>
    </row>
    <row r="29" spans="1:28" s="51" customFormat="1" ht="28.5" customHeight="1" x14ac:dyDescent="0.25">
      <c r="A29" s="103"/>
      <c r="B29" s="103"/>
      <c r="C29" s="103"/>
      <c r="D29" s="103"/>
      <c r="E29" s="103"/>
      <c r="F29" s="103"/>
      <c r="G29" s="103"/>
      <c r="H29" s="103"/>
      <c r="I29" s="103"/>
      <c r="J29" s="103"/>
      <c r="K29" s="103"/>
      <c r="M29" s="41"/>
      <c r="N29" s="44" t="s">
        <v>45</v>
      </c>
      <c r="O29" s="63">
        <v>0.06</v>
      </c>
      <c r="P29" s="68"/>
      <c r="Q29" s="43"/>
      <c r="R29" s="69"/>
      <c r="S29" s="53"/>
      <c r="T29" s="52"/>
      <c r="U29" s="52"/>
      <c r="V29" s="52"/>
      <c r="W29" s="52"/>
      <c r="X29" s="52"/>
      <c r="Z29" s="54"/>
      <c r="AB29" s="54"/>
    </row>
    <row r="30" spans="1:28" s="51" customFormat="1" x14ac:dyDescent="0.25">
      <c r="A30" s="103" t="s">
        <v>87</v>
      </c>
      <c r="B30" s="103"/>
      <c r="C30" s="103"/>
      <c r="D30" s="103"/>
      <c r="E30" s="103"/>
      <c r="F30" s="103"/>
      <c r="G30" s="103"/>
      <c r="H30" s="103"/>
      <c r="I30" s="103"/>
      <c r="J30" s="103"/>
      <c r="K30" s="103"/>
      <c r="M30" s="41"/>
      <c r="N30" s="45" t="s">
        <v>88</v>
      </c>
      <c r="O30" s="64">
        <v>0.06</v>
      </c>
      <c r="P30" s="68"/>
      <c r="Q30" s="43"/>
      <c r="R30" s="69"/>
      <c r="S30" s="53"/>
      <c r="T30" s="52"/>
      <c r="U30" s="52"/>
      <c r="V30" s="52"/>
      <c r="W30" s="52"/>
      <c r="X30" s="52"/>
      <c r="Z30" s="54"/>
      <c r="AB30" s="54"/>
    </row>
    <row r="31" spans="1:28" s="51" customFormat="1" ht="15" customHeight="1" x14ac:dyDescent="0.25">
      <c r="A31" s="103"/>
      <c r="B31" s="103"/>
      <c r="C31" s="103"/>
      <c r="D31" s="103"/>
      <c r="E31" s="103"/>
      <c r="F31" s="103"/>
      <c r="G31" s="103"/>
      <c r="H31" s="103"/>
      <c r="I31" s="103"/>
      <c r="J31" s="103"/>
      <c r="K31" s="103"/>
      <c r="M31" s="41"/>
      <c r="N31" s="44" t="s">
        <v>46</v>
      </c>
      <c r="O31" s="63">
        <v>0.05</v>
      </c>
      <c r="P31" s="68"/>
      <c r="Q31" s="52"/>
      <c r="R31" s="69"/>
      <c r="S31" s="53"/>
      <c r="T31" s="52"/>
      <c r="U31" s="52"/>
      <c r="V31" s="52"/>
      <c r="W31" s="52"/>
      <c r="X31" s="52"/>
      <c r="Z31" s="54"/>
      <c r="AB31" s="54"/>
    </row>
    <row r="32" spans="1:28" s="51" customFormat="1" ht="15" customHeight="1" x14ac:dyDescent="0.25">
      <c r="A32" s="103"/>
      <c r="B32" s="103"/>
      <c r="C32" s="103"/>
      <c r="D32" s="103"/>
      <c r="E32" s="103"/>
      <c r="F32" s="103"/>
      <c r="G32" s="103"/>
      <c r="H32" s="103"/>
      <c r="I32" s="103"/>
      <c r="J32" s="103"/>
      <c r="K32" s="103"/>
      <c r="M32" s="41"/>
      <c r="N32" s="93" t="s">
        <v>61</v>
      </c>
      <c r="O32" s="94">
        <v>0.03</v>
      </c>
      <c r="P32" s="68"/>
      <c r="Q32" s="52"/>
      <c r="R32" s="69"/>
      <c r="S32" s="53"/>
      <c r="T32" s="52"/>
      <c r="U32" s="52"/>
      <c r="V32" s="52"/>
      <c r="W32" s="52"/>
      <c r="X32" s="52"/>
      <c r="Z32" s="54"/>
      <c r="AB32" s="54"/>
    </row>
    <row r="33" spans="1:28" s="51" customFormat="1" ht="15" customHeight="1" x14ac:dyDescent="0.25">
      <c r="A33" s="81" t="s">
        <v>101</v>
      </c>
      <c r="B33" s="75"/>
      <c r="C33" s="75"/>
      <c r="D33" s="75"/>
      <c r="E33" s="75"/>
      <c r="F33" s="75"/>
      <c r="G33" s="75"/>
      <c r="H33" s="75"/>
      <c r="I33" s="75"/>
      <c r="J33" s="75"/>
      <c r="P33" s="52"/>
      <c r="Q33" s="52"/>
      <c r="R33" s="52"/>
      <c r="S33" s="53"/>
      <c r="T33" s="52"/>
      <c r="U33" s="52"/>
      <c r="V33" s="52"/>
      <c r="W33" s="52"/>
      <c r="X33" s="52"/>
      <c r="Z33" s="54"/>
      <c r="AB33" s="54"/>
    </row>
    <row r="34" spans="1:28" s="51" customFormat="1" ht="15" customHeight="1" x14ac:dyDescent="0.25">
      <c r="A34" s="75"/>
      <c r="B34" s="75"/>
      <c r="C34" s="75"/>
      <c r="D34" s="75"/>
      <c r="E34" s="75"/>
      <c r="F34" s="75"/>
      <c r="G34" s="75"/>
      <c r="H34" s="75"/>
      <c r="I34" s="75"/>
      <c r="J34" s="75"/>
      <c r="N34" s="45"/>
      <c r="O34" s="46"/>
      <c r="P34" s="52"/>
      <c r="Q34" s="52"/>
      <c r="R34" s="52"/>
      <c r="S34" s="53"/>
      <c r="T34" s="52"/>
      <c r="U34" s="52"/>
      <c r="V34" s="52"/>
      <c r="W34" s="52"/>
      <c r="X34" s="52"/>
      <c r="Z34" s="54"/>
      <c r="AB34" s="54"/>
    </row>
    <row r="35" spans="1:28" s="51" customFormat="1" ht="15" customHeight="1" x14ac:dyDescent="0.25">
      <c r="A35" s="16"/>
      <c r="B35" s="16"/>
      <c r="C35" s="16"/>
      <c r="D35" s="16"/>
      <c r="E35" s="16"/>
      <c r="F35" s="16"/>
      <c r="G35" s="16"/>
      <c r="H35" s="16"/>
      <c r="I35" s="16"/>
      <c r="J35" s="16"/>
      <c r="P35" s="52"/>
      <c r="Q35" s="52"/>
      <c r="R35" s="52"/>
      <c r="S35" s="53"/>
      <c r="T35" s="52"/>
      <c r="U35" s="52"/>
      <c r="V35" s="52"/>
      <c r="W35" s="52"/>
      <c r="X35" s="52"/>
      <c r="Z35" s="54"/>
      <c r="AB35" s="54"/>
    </row>
    <row r="36" spans="1:28" s="51" customFormat="1" ht="15" customHeight="1" x14ac:dyDescent="0.25">
      <c r="A36" s="78"/>
      <c r="B36" s="79"/>
      <c r="C36" s="79"/>
      <c r="D36" s="79"/>
      <c r="E36" s="79"/>
      <c r="F36" s="79"/>
      <c r="G36" s="79"/>
      <c r="H36" s="79"/>
      <c r="I36" s="79"/>
      <c r="J36" s="79"/>
      <c r="N36" s="45"/>
      <c r="O36" s="46"/>
      <c r="P36" s="52"/>
      <c r="Q36" s="52"/>
      <c r="R36" s="52"/>
      <c r="S36" s="53"/>
      <c r="T36" s="52"/>
      <c r="U36" s="52"/>
      <c r="V36" s="52"/>
      <c r="W36" s="52"/>
      <c r="X36" s="52"/>
      <c r="Z36" s="54"/>
      <c r="AB36" s="54"/>
    </row>
    <row r="37" spans="1:28" s="51" customFormat="1" ht="15" customHeight="1" x14ac:dyDescent="0.25">
      <c r="A37" s="80"/>
      <c r="B37" s="80"/>
      <c r="C37" s="80"/>
      <c r="D37" s="80"/>
      <c r="E37" s="80"/>
      <c r="F37" s="80"/>
      <c r="G37" s="80"/>
      <c r="H37" s="80"/>
      <c r="I37" s="80"/>
      <c r="J37" s="80"/>
      <c r="N37" s="45"/>
      <c r="O37" s="46"/>
      <c r="P37" s="52"/>
      <c r="Q37" s="52"/>
      <c r="R37" s="52"/>
      <c r="S37" s="53"/>
      <c r="T37" s="52"/>
      <c r="U37" s="52"/>
      <c r="V37" s="52"/>
      <c r="W37" s="52"/>
      <c r="X37" s="52"/>
      <c r="Z37" s="54"/>
      <c r="AB37" s="54"/>
    </row>
    <row r="38" spans="1:28" s="51" customFormat="1" ht="15" customHeight="1" x14ac:dyDescent="0.25">
      <c r="B38" s="81"/>
      <c r="C38" s="81"/>
      <c r="D38" s="81"/>
      <c r="E38" s="81"/>
      <c r="F38" s="81"/>
      <c r="G38" s="81"/>
      <c r="H38" s="81"/>
      <c r="I38" s="81"/>
      <c r="J38" s="81"/>
      <c r="P38" s="52"/>
      <c r="Q38" s="52"/>
      <c r="R38" s="52"/>
      <c r="S38" s="53"/>
      <c r="T38" s="52"/>
      <c r="U38" s="52"/>
      <c r="V38" s="52"/>
      <c r="W38" s="52"/>
      <c r="X38" s="52"/>
      <c r="Z38" s="54"/>
      <c r="AB38" s="54"/>
    </row>
    <row r="39" spans="1:28" s="51" customFormat="1" ht="15" customHeight="1" x14ac:dyDescent="0.2">
      <c r="P39" s="52"/>
      <c r="Q39" s="52"/>
      <c r="R39" s="52"/>
      <c r="S39" s="53"/>
      <c r="T39" s="52"/>
      <c r="U39" s="52"/>
      <c r="V39" s="52"/>
      <c r="W39" s="52"/>
      <c r="X39" s="52"/>
      <c r="Z39" s="54"/>
      <c r="AB39" s="54"/>
    </row>
    <row r="40" spans="1:28" s="51" customFormat="1" ht="15" customHeight="1" x14ac:dyDescent="0.2">
      <c r="P40" s="52"/>
      <c r="Q40" s="52"/>
      <c r="R40" s="52"/>
      <c r="S40" s="53"/>
      <c r="T40" s="52"/>
      <c r="U40" s="52"/>
      <c r="V40" s="52"/>
      <c r="W40" s="52"/>
      <c r="X40" s="52"/>
      <c r="Z40" s="54"/>
      <c r="AB40" s="54"/>
    </row>
    <row r="41" spans="1:28" s="51" customFormat="1" ht="15" customHeight="1" x14ac:dyDescent="0.2">
      <c r="P41" s="52"/>
      <c r="Q41" s="52"/>
      <c r="R41" s="52"/>
      <c r="S41" s="53"/>
      <c r="T41" s="52"/>
      <c r="U41" s="52"/>
      <c r="V41" s="52"/>
      <c r="W41" s="52"/>
      <c r="X41" s="52"/>
      <c r="Z41" s="54"/>
      <c r="AB41" s="54"/>
    </row>
    <row r="42" spans="1:28" s="51" customFormat="1" ht="15" customHeight="1" x14ac:dyDescent="0.2">
      <c r="P42" s="52"/>
      <c r="Q42" s="52"/>
      <c r="R42" s="52"/>
      <c r="S42" s="53"/>
      <c r="T42" s="52"/>
      <c r="U42" s="52"/>
      <c r="V42" s="52"/>
      <c r="W42" s="52"/>
      <c r="X42" s="52"/>
      <c r="Z42" s="54"/>
      <c r="AB42" s="54"/>
    </row>
    <row r="43" spans="1:28" s="51" customFormat="1" ht="15" customHeight="1" x14ac:dyDescent="0.2">
      <c r="P43" s="52"/>
      <c r="Q43" s="52"/>
      <c r="R43" s="52"/>
      <c r="S43" s="53"/>
      <c r="T43" s="52"/>
      <c r="U43" s="52"/>
      <c r="V43" s="52"/>
      <c r="W43" s="52"/>
      <c r="X43" s="52"/>
      <c r="Z43" s="54"/>
      <c r="AB43" s="54"/>
    </row>
    <row r="44" spans="1:28" s="51" customFormat="1" ht="15" customHeight="1" x14ac:dyDescent="0.2">
      <c r="C44" s="57"/>
      <c r="P44" s="52"/>
      <c r="Q44" s="52"/>
      <c r="R44" s="52"/>
      <c r="S44" s="53"/>
      <c r="T44" s="52"/>
      <c r="U44" s="52"/>
      <c r="V44" s="52"/>
      <c r="W44" s="52"/>
      <c r="X44" s="52"/>
      <c r="Z44" s="54"/>
      <c r="AB44" s="54"/>
    </row>
    <row r="45" spans="1:28" s="51" customFormat="1" ht="15" customHeight="1" x14ac:dyDescent="0.2">
      <c r="C45" s="57"/>
      <c r="P45" s="52"/>
      <c r="Q45" s="52"/>
      <c r="R45" s="52"/>
      <c r="S45" s="53"/>
      <c r="T45" s="52"/>
      <c r="U45" s="52"/>
      <c r="V45" s="52"/>
      <c r="W45" s="52"/>
      <c r="X45" s="52"/>
      <c r="Z45" s="54"/>
      <c r="AB45" s="54"/>
    </row>
    <row r="46" spans="1:28" s="51" customFormat="1" ht="15" customHeight="1" x14ac:dyDescent="0.2">
      <c r="C46" s="57"/>
      <c r="P46" s="52"/>
      <c r="Q46" s="52"/>
      <c r="R46" s="52"/>
      <c r="S46" s="53"/>
      <c r="T46" s="52"/>
      <c r="U46" s="52"/>
      <c r="V46" s="52"/>
      <c r="W46" s="52"/>
      <c r="X46" s="52"/>
      <c r="Z46" s="54"/>
      <c r="AB46" s="54"/>
    </row>
    <row r="47" spans="1:28" s="51" customFormat="1" ht="15" customHeight="1" x14ac:dyDescent="0.2">
      <c r="C47" s="57"/>
      <c r="P47" s="52"/>
      <c r="Q47" s="52"/>
      <c r="R47" s="52"/>
      <c r="S47" s="52"/>
      <c r="T47" s="52"/>
      <c r="U47" s="52"/>
      <c r="V47" s="52"/>
      <c r="W47" s="52"/>
      <c r="X47" s="52"/>
    </row>
    <row r="48" spans="1:28" s="51" customFormat="1" ht="15" customHeight="1" x14ac:dyDescent="0.2">
      <c r="C48" s="57"/>
      <c r="P48" s="52"/>
      <c r="Q48" s="52"/>
      <c r="R48" s="52"/>
      <c r="S48" s="52"/>
      <c r="T48" s="52"/>
      <c r="U48" s="52"/>
      <c r="V48" s="52"/>
      <c r="W48" s="52"/>
      <c r="X48" s="52"/>
    </row>
    <row r="49" spans="3:24" s="51" customFormat="1" ht="15" customHeight="1" x14ac:dyDescent="0.25">
      <c r="C49" s="57"/>
      <c r="N49" s="45"/>
      <c r="O49" s="46"/>
      <c r="P49" s="52"/>
      <c r="Q49" s="52"/>
      <c r="R49" s="52"/>
      <c r="S49" s="52"/>
      <c r="T49" s="52"/>
      <c r="U49" s="52"/>
      <c r="V49" s="52"/>
      <c r="W49" s="52"/>
      <c r="X49" s="52"/>
    </row>
    <row r="50" spans="3:24" s="51" customFormat="1" ht="15" customHeight="1" x14ac:dyDescent="0.25">
      <c r="C50" s="57"/>
      <c r="N50" s="45"/>
      <c r="O50" s="46"/>
      <c r="P50" s="52"/>
      <c r="Q50" s="52"/>
      <c r="R50" s="52"/>
      <c r="S50" s="52"/>
      <c r="T50" s="52"/>
      <c r="U50" s="52"/>
      <c r="V50" s="52"/>
      <c r="W50" s="52"/>
      <c r="X50" s="52"/>
    </row>
    <row r="51" spans="3:24" s="51" customFormat="1" ht="15" customHeight="1" x14ac:dyDescent="0.25">
      <c r="C51" s="57"/>
      <c r="N51" s="45"/>
      <c r="O51" s="46"/>
      <c r="P51" s="52"/>
      <c r="Q51" s="52"/>
      <c r="R51" s="52"/>
      <c r="S51" s="52"/>
      <c r="T51" s="52"/>
      <c r="U51" s="52"/>
      <c r="V51" s="52"/>
      <c r="W51" s="52"/>
      <c r="X51" s="52"/>
    </row>
    <row r="52" spans="3:24" s="51" customFormat="1" ht="15" customHeight="1" x14ac:dyDescent="0.25">
      <c r="C52" s="57"/>
      <c r="N52" s="45"/>
      <c r="O52" s="46"/>
      <c r="P52" s="52"/>
      <c r="Q52" s="52"/>
      <c r="R52" s="52"/>
      <c r="S52" s="52"/>
      <c r="T52" s="52"/>
      <c r="U52" s="52"/>
      <c r="V52" s="52"/>
      <c r="W52" s="52"/>
      <c r="X52" s="52"/>
    </row>
    <row r="53" spans="3:24" s="51" customFormat="1" ht="15" customHeight="1" x14ac:dyDescent="0.25">
      <c r="C53" s="57"/>
      <c r="N53" s="45"/>
      <c r="O53" s="46"/>
      <c r="P53" s="52"/>
      <c r="Q53" s="52"/>
      <c r="R53" s="52"/>
      <c r="S53" s="52"/>
      <c r="T53" s="52"/>
      <c r="U53" s="52"/>
      <c r="V53" s="52"/>
      <c r="W53" s="52"/>
      <c r="X53" s="52"/>
    </row>
    <row r="54" spans="3:24" s="51" customFormat="1" ht="15" customHeight="1" x14ac:dyDescent="0.25">
      <c r="C54" s="57"/>
      <c r="N54" s="45"/>
      <c r="O54" s="46"/>
      <c r="P54" s="52"/>
      <c r="Q54" s="52"/>
      <c r="R54" s="52"/>
      <c r="S54" s="52"/>
      <c r="T54" s="52"/>
      <c r="U54" s="52"/>
      <c r="V54" s="52"/>
      <c r="W54" s="52"/>
      <c r="X54" s="52"/>
    </row>
    <row r="55" spans="3:24" s="51" customFormat="1" ht="15" customHeight="1" x14ac:dyDescent="0.25">
      <c r="C55" s="57"/>
      <c r="N55" s="45"/>
      <c r="O55" s="46"/>
      <c r="P55" s="52"/>
      <c r="Q55" s="52"/>
      <c r="R55" s="52"/>
      <c r="S55" s="52"/>
      <c r="T55" s="52"/>
      <c r="U55" s="52"/>
      <c r="V55" s="52"/>
      <c r="W55" s="52"/>
      <c r="X55" s="52"/>
    </row>
    <row r="56" spans="3:24" s="51" customFormat="1" ht="15" customHeight="1" x14ac:dyDescent="0.2">
      <c r="C56" s="57"/>
      <c r="P56" s="52"/>
      <c r="Q56" s="52"/>
      <c r="R56" s="52"/>
      <c r="S56" s="52"/>
      <c r="T56" s="52"/>
      <c r="U56" s="52"/>
      <c r="V56" s="52"/>
      <c r="W56" s="52"/>
      <c r="X56" s="52"/>
    </row>
    <row r="57" spans="3:24" s="51" customFormat="1" ht="15" customHeight="1" x14ac:dyDescent="0.2">
      <c r="C57" s="57"/>
      <c r="P57" s="52"/>
      <c r="Q57" s="52"/>
      <c r="R57" s="52"/>
      <c r="S57" s="52"/>
      <c r="T57" s="52"/>
      <c r="U57" s="52"/>
      <c r="V57" s="52"/>
      <c r="W57" s="52"/>
      <c r="X57" s="52"/>
    </row>
    <row r="58" spans="3:24" s="51" customFormat="1" ht="15" customHeight="1" x14ac:dyDescent="0.2">
      <c r="C58" s="57"/>
      <c r="P58" s="52"/>
      <c r="Q58" s="52"/>
      <c r="R58" s="52"/>
      <c r="S58" s="52"/>
      <c r="T58" s="52"/>
      <c r="U58" s="52"/>
      <c r="V58" s="52"/>
      <c r="W58" s="52"/>
      <c r="X58" s="52"/>
    </row>
    <row r="59" spans="3:24" s="51" customFormat="1" ht="15" customHeight="1" x14ac:dyDescent="0.2">
      <c r="C59" s="57"/>
      <c r="P59" s="52"/>
      <c r="Q59" s="52"/>
      <c r="R59" s="52"/>
      <c r="S59" s="52"/>
      <c r="T59" s="52"/>
      <c r="U59" s="52"/>
      <c r="V59" s="52"/>
      <c r="W59" s="52"/>
      <c r="X59" s="52"/>
    </row>
    <row r="60" spans="3:24" s="51" customFormat="1" ht="15" customHeight="1" x14ac:dyDescent="0.2">
      <c r="C60" s="57"/>
      <c r="P60" s="52"/>
      <c r="Q60" s="52"/>
      <c r="R60" s="52"/>
      <c r="S60" s="52"/>
      <c r="T60" s="52"/>
      <c r="U60" s="52"/>
      <c r="V60" s="52"/>
      <c r="W60" s="52"/>
      <c r="X60" s="52"/>
    </row>
    <row r="61" spans="3:24" s="51" customFormat="1" ht="15" customHeight="1" x14ac:dyDescent="0.2">
      <c r="C61" s="57"/>
      <c r="P61" s="52"/>
      <c r="Q61" s="52"/>
      <c r="R61" s="52"/>
      <c r="S61" s="52"/>
      <c r="T61" s="52"/>
      <c r="U61" s="52"/>
      <c r="V61" s="52"/>
      <c r="W61" s="52"/>
      <c r="X61" s="52"/>
    </row>
    <row r="62" spans="3:24" s="51" customFormat="1" ht="15" customHeight="1" x14ac:dyDescent="0.2">
      <c r="C62" s="57"/>
      <c r="P62" s="52"/>
      <c r="Q62" s="52"/>
      <c r="R62" s="52"/>
      <c r="S62" s="52"/>
      <c r="T62" s="52"/>
      <c r="U62" s="52"/>
      <c r="V62" s="52"/>
      <c r="W62" s="52"/>
      <c r="X62" s="52"/>
    </row>
    <row r="63" spans="3:24" s="51" customFormat="1" ht="15" customHeight="1" x14ac:dyDescent="0.2">
      <c r="C63" s="57"/>
      <c r="P63" s="52"/>
      <c r="Q63" s="52"/>
      <c r="R63" s="52"/>
      <c r="S63" s="52"/>
      <c r="T63" s="52"/>
      <c r="U63" s="52"/>
      <c r="V63" s="52"/>
      <c r="W63" s="52"/>
      <c r="X63" s="52"/>
    </row>
    <row r="64" spans="3:24" s="51" customFormat="1" ht="15" customHeight="1" x14ac:dyDescent="0.2">
      <c r="C64" s="57"/>
      <c r="P64" s="52"/>
      <c r="Q64" s="52"/>
      <c r="R64" s="52"/>
      <c r="S64" s="52"/>
      <c r="T64" s="52"/>
      <c r="U64" s="52"/>
      <c r="V64" s="52"/>
      <c r="W64" s="52"/>
      <c r="X64" s="52"/>
    </row>
    <row r="65" spans="3:24" s="51" customFormat="1" ht="15" customHeight="1" x14ac:dyDescent="0.2">
      <c r="C65" s="57"/>
      <c r="P65" s="52"/>
      <c r="Q65" s="52"/>
      <c r="R65" s="52"/>
      <c r="S65" s="52"/>
      <c r="T65" s="52"/>
      <c r="U65" s="52"/>
      <c r="V65" s="52"/>
      <c r="W65" s="52"/>
      <c r="X65" s="52"/>
    </row>
    <row r="66" spans="3:24" s="51" customFormat="1" ht="15" customHeight="1" x14ac:dyDescent="0.2">
      <c r="C66" s="57"/>
      <c r="P66" s="52"/>
      <c r="Q66" s="52"/>
      <c r="R66" s="52"/>
      <c r="S66" s="52"/>
      <c r="T66" s="52"/>
      <c r="U66" s="52"/>
      <c r="V66" s="52"/>
      <c r="W66" s="52"/>
      <c r="X66" s="52"/>
    </row>
    <row r="67" spans="3:24" s="51" customFormat="1" ht="15" customHeight="1" x14ac:dyDescent="0.2">
      <c r="C67" s="57"/>
      <c r="P67" s="52"/>
      <c r="Q67" s="52"/>
      <c r="R67" s="52"/>
      <c r="S67" s="52"/>
      <c r="T67" s="52"/>
      <c r="U67" s="52"/>
      <c r="V67" s="52"/>
      <c r="W67" s="52"/>
      <c r="X67" s="52"/>
    </row>
    <row r="68" spans="3:24" s="51" customFormat="1" ht="15" customHeight="1" x14ac:dyDescent="0.2">
      <c r="C68" s="57"/>
      <c r="P68" s="52"/>
      <c r="Q68" s="52"/>
      <c r="R68" s="52"/>
      <c r="S68" s="52"/>
      <c r="T68" s="52"/>
      <c r="U68" s="52"/>
      <c r="V68" s="52"/>
      <c r="W68" s="52"/>
      <c r="X68" s="52"/>
    </row>
    <row r="69" spans="3:24" s="51" customFormat="1" ht="15" customHeight="1" x14ac:dyDescent="0.2">
      <c r="C69" s="57"/>
      <c r="P69" s="52"/>
      <c r="Q69" s="52"/>
      <c r="R69" s="52"/>
      <c r="S69" s="52"/>
      <c r="T69" s="52"/>
      <c r="U69" s="52"/>
      <c r="V69" s="52"/>
      <c r="W69" s="52"/>
      <c r="X69" s="52"/>
    </row>
    <row r="70" spans="3:24" s="51" customFormat="1" ht="15" customHeight="1" x14ac:dyDescent="0.2">
      <c r="C70" s="57"/>
      <c r="P70" s="52"/>
      <c r="Q70" s="52"/>
      <c r="R70" s="52"/>
      <c r="S70" s="52"/>
      <c r="T70" s="52"/>
      <c r="U70" s="52"/>
      <c r="V70" s="52"/>
      <c r="W70" s="52"/>
      <c r="X70" s="52"/>
    </row>
    <row r="71" spans="3:24" s="51" customFormat="1" ht="15" customHeight="1" x14ac:dyDescent="0.2">
      <c r="C71" s="57"/>
      <c r="P71" s="52"/>
      <c r="Q71" s="52"/>
      <c r="R71" s="52"/>
      <c r="S71" s="52"/>
      <c r="T71" s="52"/>
      <c r="U71" s="52"/>
      <c r="V71" s="52"/>
      <c r="W71" s="52"/>
      <c r="X71" s="52"/>
    </row>
    <row r="72" spans="3:24" s="51" customFormat="1" ht="15" customHeight="1" x14ac:dyDescent="0.2">
      <c r="C72" s="57"/>
      <c r="P72" s="52"/>
      <c r="Q72" s="52"/>
      <c r="R72" s="52"/>
      <c r="S72" s="52"/>
      <c r="T72" s="52"/>
      <c r="U72" s="52"/>
      <c r="V72" s="52"/>
      <c r="W72" s="52"/>
      <c r="X72" s="52"/>
    </row>
    <row r="73" spans="3:24" s="51" customFormat="1" ht="12" customHeight="1" x14ac:dyDescent="0.2">
      <c r="C73" s="57"/>
      <c r="P73" s="52"/>
      <c r="Q73" s="52"/>
      <c r="R73" s="52"/>
      <c r="S73" s="52"/>
      <c r="T73" s="52"/>
      <c r="U73" s="52"/>
      <c r="V73" s="52"/>
      <c r="W73" s="52"/>
      <c r="X73" s="52"/>
    </row>
    <row r="74" spans="3:24" s="51" customFormat="1" ht="12" customHeight="1" x14ac:dyDescent="0.2">
      <c r="C74" s="58"/>
      <c r="P74" s="52"/>
      <c r="Q74" s="52"/>
      <c r="R74" s="52"/>
      <c r="S74" s="52"/>
      <c r="T74" s="52"/>
      <c r="U74" s="52"/>
      <c r="V74" s="52"/>
      <c r="W74" s="52"/>
      <c r="X74" s="52"/>
    </row>
    <row r="75" spans="3:24" s="51" customFormat="1" ht="12" customHeight="1" x14ac:dyDescent="0.2">
      <c r="C75" s="57"/>
      <c r="P75" s="52"/>
      <c r="Q75" s="52"/>
      <c r="R75" s="52"/>
      <c r="S75" s="52"/>
      <c r="T75" s="52"/>
      <c r="U75" s="52"/>
      <c r="V75" s="52"/>
      <c r="W75" s="52"/>
      <c r="X75" s="52"/>
    </row>
    <row r="76" spans="3:24" s="51" customFormat="1" ht="12" customHeight="1" x14ac:dyDescent="0.2">
      <c r="C76" s="57"/>
      <c r="P76" s="52"/>
      <c r="Q76" s="52"/>
      <c r="R76" s="52"/>
      <c r="S76" s="52"/>
      <c r="T76" s="52"/>
      <c r="U76" s="52"/>
      <c r="V76" s="52"/>
      <c r="W76" s="52"/>
      <c r="X76" s="52"/>
    </row>
    <row r="77" spans="3:24" s="51" customFormat="1" ht="12" customHeight="1" x14ac:dyDescent="0.25">
      <c r="C77" s="58"/>
      <c r="L77" s="41"/>
      <c r="P77" s="52"/>
      <c r="Q77" s="52"/>
      <c r="R77" s="52"/>
      <c r="S77" s="52"/>
      <c r="T77" s="52"/>
      <c r="U77" s="52"/>
      <c r="V77" s="52"/>
      <c r="W77" s="52"/>
      <c r="X77" s="52"/>
    </row>
    <row r="78" spans="3:24" s="51" customFormat="1" x14ac:dyDescent="0.25">
      <c r="L78" s="41"/>
      <c r="N78" s="41"/>
      <c r="O78" s="41"/>
      <c r="P78" s="52"/>
      <c r="Q78" s="52"/>
      <c r="R78" s="52"/>
      <c r="S78" s="52"/>
      <c r="T78" s="52"/>
      <c r="U78" s="52"/>
      <c r="V78" s="52"/>
      <c r="W78" s="52"/>
      <c r="X78" s="52"/>
    </row>
  </sheetData>
  <sortState xmlns:xlrd2="http://schemas.microsoft.com/office/spreadsheetml/2017/richdata2" ref="N3:O32">
    <sortCondition descending="1" ref="O3:O32"/>
  </sortState>
  <mergeCells count="7">
    <mergeCell ref="N1:O1"/>
    <mergeCell ref="A30:K32"/>
    <mergeCell ref="A25:K26"/>
    <mergeCell ref="A28:K29"/>
    <mergeCell ref="A1:K1"/>
    <mergeCell ref="A2:K3"/>
    <mergeCell ref="A18:K23"/>
  </mergeCells>
  <conditionalFormatting sqref="P3:P32 N3:N32">
    <cfRule type="duplicateValues" dxfId="0" priority="2"/>
  </conditionalFormatting>
  <hyperlinks>
    <hyperlink ref="A27" r:id="rId1" xr:uid="{D0919758-4F0B-4604-9159-2A0864D9E7AC}"/>
  </hyperlinks>
  <pageMargins left="0.70866141732283472" right="0.70866141732283472" top="0.74803149606299213" bottom="0.74803149606299213" header="0.31496062992125984" footer="0.31496062992125984"/>
  <pageSetup paperSize="9" scale="71" orientation="portrait" r:id="rId2"/>
  <headerFooter>
    <oddFooter>&amp;C_x000D_&amp;1#&amp;"Calibri"&amp;10&amp;K0000FF Restricted Use - À usage restreint</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7E892-F035-441C-A965-2C80E907AE4B}">
  <sheetPr>
    <pageSetUpPr fitToPage="1"/>
  </sheetPr>
  <dimension ref="A1:AB81"/>
  <sheetViews>
    <sheetView zoomScaleNormal="100" workbookViewId="0">
      <selection sqref="A1:L1"/>
    </sheetView>
  </sheetViews>
  <sheetFormatPr defaultColWidth="8.7109375" defaultRowHeight="15" x14ac:dyDescent="0.25"/>
  <cols>
    <col min="1" max="1" width="16.42578125" style="41" customWidth="1"/>
    <col min="2" max="13" width="8.7109375" style="41"/>
    <col min="14" max="14" width="13.140625" style="41" customWidth="1"/>
    <col min="15" max="15" width="28.5703125" style="43" customWidth="1"/>
    <col min="16" max="18" width="8" style="43" customWidth="1"/>
    <col min="19" max="19" width="11.140625" style="43" customWidth="1"/>
    <col min="20" max="24" width="8" style="43" customWidth="1"/>
    <col min="25" max="25" width="8.7109375" style="41"/>
    <col min="26" max="26" width="11.5703125" style="41" customWidth="1"/>
    <col min="27" max="16384" width="8.7109375" style="41"/>
  </cols>
  <sheetData>
    <row r="1" spans="1:28" ht="16.5" customHeight="1" x14ac:dyDescent="0.25">
      <c r="A1" s="105" t="s">
        <v>109</v>
      </c>
      <c r="B1" s="105"/>
      <c r="C1" s="105"/>
      <c r="D1" s="105"/>
      <c r="E1" s="105"/>
      <c r="F1" s="105"/>
      <c r="G1" s="105"/>
      <c r="H1" s="105"/>
      <c r="I1" s="105"/>
      <c r="J1" s="105"/>
      <c r="K1" s="105"/>
      <c r="L1" s="105"/>
      <c r="M1" s="88"/>
      <c r="N1" s="102" t="s">
        <v>93</v>
      </c>
      <c r="O1" s="102"/>
    </row>
    <row r="2" spans="1:28" ht="20.100000000000001" customHeight="1" x14ac:dyDescent="0.25">
      <c r="A2" s="106" t="s">
        <v>117</v>
      </c>
      <c r="B2" s="106"/>
      <c r="C2" s="106"/>
      <c r="D2" s="106"/>
      <c r="E2" s="106"/>
      <c r="F2" s="106"/>
      <c r="G2" s="106"/>
      <c r="H2" s="106"/>
      <c r="I2" s="106"/>
      <c r="J2" s="106"/>
      <c r="K2" s="106"/>
      <c r="L2" s="106"/>
      <c r="M2" s="87"/>
      <c r="N2" s="42"/>
      <c r="O2" s="82"/>
    </row>
    <row r="3" spans="1:28" ht="14.45" customHeight="1" x14ac:dyDescent="0.25">
      <c r="A3" s="106"/>
      <c r="B3" s="106"/>
      <c r="C3" s="106"/>
      <c r="D3" s="106"/>
      <c r="E3" s="106"/>
      <c r="F3" s="106"/>
      <c r="G3" s="106"/>
      <c r="H3" s="106"/>
      <c r="I3" s="106"/>
      <c r="J3" s="106"/>
      <c r="K3" s="106"/>
      <c r="L3" s="106"/>
      <c r="M3" s="87"/>
      <c r="N3" s="44" t="s">
        <v>111</v>
      </c>
      <c r="O3" s="63">
        <v>0.28238889870135087</v>
      </c>
      <c r="P3" s="5"/>
    </row>
    <row r="4" spans="1:28" ht="15" customHeight="1" x14ac:dyDescent="0.25">
      <c r="N4" s="45" t="s">
        <v>60</v>
      </c>
      <c r="O4" s="64">
        <v>0.13</v>
      </c>
      <c r="P4" s="5"/>
      <c r="S4" s="47"/>
      <c r="Z4" s="47"/>
    </row>
    <row r="5" spans="1:28" ht="15" customHeight="1" x14ac:dyDescent="0.25">
      <c r="N5" s="44" t="s">
        <v>42</v>
      </c>
      <c r="O5" s="63">
        <v>0.12</v>
      </c>
      <c r="P5" s="5"/>
    </row>
    <row r="6" spans="1:28" ht="15" customHeight="1" x14ac:dyDescent="0.25">
      <c r="N6" s="45" t="s">
        <v>78</v>
      </c>
      <c r="O6" s="64">
        <v>0.1</v>
      </c>
      <c r="P6" s="5"/>
      <c r="S6" s="47"/>
      <c r="Z6" s="47"/>
    </row>
    <row r="7" spans="1:28" ht="15" customHeight="1" x14ac:dyDescent="0.25">
      <c r="N7" s="44" t="s">
        <v>40</v>
      </c>
      <c r="O7" s="63">
        <v>0.1</v>
      </c>
      <c r="P7" s="5"/>
      <c r="S7" s="48"/>
      <c r="Z7" s="49"/>
      <c r="AB7" s="49"/>
    </row>
    <row r="8" spans="1:28" ht="15" customHeight="1" x14ac:dyDescent="0.25">
      <c r="N8" s="45" t="s">
        <v>86</v>
      </c>
      <c r="O8" s="64">
        <v>0.1</v>
      </c>
      <c r="P8" s="5"/>
      <c r="S8" s="48"/>
      <c r="Z8" s="49"/>
      <c r="AB8" s="49"/>
    </row>
    <row r="9" spans="1:28" ht="15" customHeight="1" x14ac:dyDescent="0.25">
      <c r="N9" s="44" t="s">
        <v>50</v>
      </c>
      <c r="O9" s="63">
        <v>0.1</v>
      </c>
      <c r="P9" s="5"/>
      <c r="S9" s="48"/>
      <c r="Z9" s="49"/>
      <c r="AB9" s="49"/>
    </row>
    <row r="10" spans="1:28" ht="15" customHeight="1" x14ac:dyDescent="0.25">
      <c r="N10" s="45" t="s">
        <v>41</v>
      </c>
      <c r="O10" s="64">
        <v>0.09</v>
      </c>
      <c r="P10" s="5"/>
      <c r="S10" s="48"/>
      <c r="Z10" s="49"/>
      <c r="AB10" s="49"/>
    </row>
    <row r="11" spans="1:28" ht="15" customHeight="1" x14ac:dyDescent="0.25">
      <c r="N11" s="44" t="s">
        <v>61</v>
      </c>
      <c r="O11" s="63">
        <v>0.09</v>
      </c>
      <c r="P11" s="5"/>
      <c r="S11" s="48"/>
      <c r="Z11" s="49"/>
      <c r="AB11" s="49"/>
    </row>
    <row r="12" spans="1:28" ht="15" customHeight="1" x14ac:dyDescent="0.25">
      <c r="N12" s="45" t="s">
        <v>58</v>
      </c>
      <c r="O12" s="64">
        <v>0.09</v>
      </c>
      <c r="P12" s="5"/>
      <c r="S12" s="48"/>
      <c r="Z12" s="49"/>
      <c r="AB12" s="49"/>
    </row>
    <row r="13" spans="1:28" ht="15" customHeight="1" x14ac:dyDescent="0.25">
      <c r="N13" s="50" t="s">
        <v>99</v>
      </c>
      <c r="O13" s="66">
        <v>0.08</v>
      </c>
      <c r="P13" s="91"/>
      <c r="S13" s="48"/>
      <c r="Z13" s="49"/>
      <c r="AB13" s="49"/>
    </row>
    <row r="14" spans="1:28" ht="15" customHeight="1" x14ac:dyDescent="0.25">
      <c r="N14" s="45" t="s">
        <v>38</v>
      </c>
      <c r="O14" s="64">
        <v>0.08</v>
      </c>
      <c r="P14" s="91"/>
      <c r="S14" s="48"/>
      <c r="Z14" s="49"/>
      <c r="AB14" s="49"/>
    </row>
    <row r="15" spans="1:28" ht="15" customHeight="1" x14ac:dyDescent="0.25">
      <c r="N15" s="50" t="s">
        <v>118</v>
      </c>
      <c r="O15" s="66">
        <v>7.0000000000000007E-2</v>
      </c>
      <c r="P15" s="5"/>
      <c r="S15" s="48"/>
      <c r="Z15" s="49"/>
      <c r="AB15" s="49"/>
    </row>
    <row r="16" spans="1:28" ht="15" customHeight="1" x14ac:dyDescent="0.25">
      <c r="N16" s="45" t="s">
        <v>90</v>
      </c>
      <c r="O16" s="64">
        <v>7.0000000000000007E-2</v>
      </c>
      <c r="P16" s="5"/>
      <c r="S16" s="48"/>
      <c r="Z16" s="49"/>
      <c r="AB16" s="49"/>
    </row>
    <row r="17" spans="1:28" ht="15" customHeight="1" x14ac:dyDescent="0.25">
      <c r="N17" s="44" t="s">
        <v>59</v>
      </c>
      <c r="O17" s="63">
        <v>7.0000000000000007E-2</v>
      </c>
      <c r="P17" s="5"/>
      <c r="S17" s="48"/>
      <c r="Z17" s="49"/>
      <c r="AB17" s="49"/>
    </row>
    <row r="18" spans="1:28" ht="15" customHeight="1" x14ac:dyDescent="0.25">
      <c r="N18" s="45" t="s">
        <v>62</v>
      </c>
      <c r="O18" s="64">
        <v>7.0000000000000007E-2</v>
      </c>
      <c r="P18" s="5"/>
      <c r="S18" s="48"/>
      <c r="Z18" s="49"/>
      <c r="AB18" s="49"/>
    </row>
    <row r="19" spans="1:28" ht="15" customHeight="1" x14ac:dyDescent="0.25">
      <c r="A19" s="109" t="s">
        <v>119</v>
      </c>
      <c r="B19" s="109"/>
      <c r="C19" s="109"/>
      <c r="D19" s="109"/>
      <c r="E19" s="109"/>
      <c r="F19" s="109"/>
      <c r="G19" s="109"/>
      <c r="H19" s="109"/>
      <c r="I19" s="109"/>
      <c r="J19" s="109"/>
      <c r="K19" s="109"/>
      <c r="L19" s="109"/>
      <c r="N19" s="44" t="s">
        <v>47</v>
      </c>
      <c r="O19" s="63">
        <v>7.0000000000000007E-2</v>
      </c>
      <c r="P19" s="5"/>
      <c r="S19" s="48"/>
      <c r="Z19" s="49"/>
      <c r="AB19" s="49"/>
    </row>
    <row r="20" spans="1:28" ht="15" customHeight="1" x14ac:dyDescent="0.25">
      <c r="A20" s="109"/>
      <c r="B20" s="109"/>
      <c r="C20" s="109"/>
      <c r="D20" s="109"/>
      <c r="E20" s="109"/>
      <c r="F20" s="109"/>
      <c r="G20" s="109"/>
      <c r="H20" s="109"/>
      <c r="I20" s="109"/>
      <c r="J20" s="109"/>
      <c r="K20" s="109"/>
      <c r="L20" s="109"/>
      <c r="N20" s="45" t="s">
        <v>55</v>
      </c>
      <c r="O20" s="64">
        <v>7.0000000000000007E-2</v>
      </c>
      <c r="P20" s="5"/>
      <c r="AB20" s="49"/>
    </row>
    <row r="21" spans="1:28" x14ac:dyDescent="0.25">
      <c r="A21" s="109"/>
      <c r="B21" s="109"/>
      <c r="C21" s="109"/>
      <c r="D21" s="109"/>
      <c r="E21" s="109"/>
      <c r="F21" s="109"/>
      <c r="G21" s="109"/>
      <c r="H21" s="109"/>
      <c r="I21" s="109"/>
      <c r="J21" s="109"/>
      <c r="K21" s="109"/>
      <c r="L21" s="109"/>
      <c r="N21" s="44" t="s">
        <v>89</v>
      </c>
      <c r="O21" s="63">
        <v>7.0000000000000007E-2</v>
      </c>
      <c r="P21" s="5"/>
      <c r="AB21" s="49"/>
    </row>
    <row r="22" spans="1:28" x14ac:dyDescent="0.25">
      <c r="A22" s="109"/>
      <c r="B22" s="109"/>
      <c r="C22" s="109"/>
      <c r="D22" s="109"/>
      <c r="E22" s="109"/>
      <c r="F22" s="109"/>
      <c r="G22" s="109"/>
      <c r="H22" s="109"/>
      <c r="I22" s="109"/>
      <c r="J22" s="109"/>
      <c r="K22" s="109"/>
      <c r="L22" s="109"/>
      <c r="N22" s="45" t="s">
        <v>79</v>
      </c>
      <c r="O22" s="64">
        <v>0.06</v>
      </c>
      <c r="P22" s="5"/>
      <c r="AB22" s="49"/>
    </row>
    <row r="23" spans="1:28" ht="15" customHeight="1" x14ac:dyDescent="0.25">
      <c r="A23" s="109"/>
      <c r="B23" s="109"/>
      <c r="C23" s="109"/>
      <c r="D23" s="109"/>
      <c r="E23" s="109"/>
      <c r="F23" s="109"/>
      <c r="G23" s="109"/>
      <c r="H23" s="109"/>
      <c r="I23" s="109"/>
      <c r="J23" s="109"/>
      <c r="K23" s="109"/>
      <c r="L23" s="109"/>
      <c r="M23" s="51"/>
      <c r="N23" s="44" t="s">
        <v>80</v>
      </c>
      <c r="O23" s="63">
        <v>0.06</v>
      </c>
      <c r="P23" s="5"/>
      <c r="AB23" s="49"/>
    </row>
    <row r="24" spans="1:28" s="51" customFormat="1" ht="15" customHeight="1" x14ac:dyDescent="0.25">
      <c r="A24" s="109"/>
      <c r="B24" s="109"/>
      <c r="C24" s="109"/>
      <c r="D24" s="109"/>
      <c r="E24" s="109"/>
      <c r="F24" s="109"/>
      <c r="G24" s="109"/>
      <c r="H24" s="109"/>
      <c r="I24" s="109"/>
      <c r="J24" s="109"/>
      <c r="K24" s="109"/>
      <c r="L24" s="109"/>
      <c r="N24" s="45" t="s">
        <v>49</v>
      </c>
      <c r="O24" s="64">
        <v>0.06</v>
      </c>
      <c r="P24" s="5"/>
      <c r="Q24" s="43"/>
      <c r="AB24" s="54"/>
    </row>
    <row r="25" spans="1:28" s="51" customFormat="1" ht="15" customHeight="1" x14ac:dyDescent="0.25">
      <c r="A25" s="84"/>
      <c r="B25" s="84"/>
      <c r="C25" s="84"/>
      <c r="D25" s="84"/>
      <c r="E25" s="84"/>
      <c r="F25" s="84"/>
      <c r="G25" s="84"/>
      <c r="H25" s="84"/>
      <c r="I25" s="84"/>
      <c r="J25" s="84"/>
      <c r="K25" s="84"/>
      <c r="L25" s="84"/>
      <c r="N25" s="44" t="s">
        <v>45</v>
      </c>
      <c r="O25" s="63">
        <v>0.05</v>
      </c>
      <c r="P25" s="5"/>
      <c r="Q25" s="43"/>
      <c r="AB25" s="54"/>
    </row>
    <row r="26" spans="1:28" s="51" customFormat="1" ht="26.25" customHeight="1" x14ac:dyDescent="0.25">
      <c r="A26" s="104" t="s">
        <v>108</v>
      </c>
      <c r="B26" s="104"/>
      <c r="C26" s="104"/>
      <c r="D26" s="104"/>
      <c r="E26" s="104"/>
      <c r="F26" s="104"/>
      <c r="G26" s="104"/>
      <c r="H26" s="104"/>
      <c r="I26" s="104"/>
      <c r="J26" s="104"/>
      <c r="K26" s="104"/>
      <c r="L26" s="104"/>
      <c r="N26" s="45" t="s">
        <v>81</v>
      </c>
      <c r="O26" s="64">
        <v>0.05</v>
      </c>
      <c r="P26" s="5"/>
      <c r="Q26" s="43"/>
      <c r="AB26" s="54"/>
    </row>
    <row r="27" spans="1:28" s="51" customFormat="1" ht="28.5" customHeight="1" x14ac:dyDescent="0.25">
      <c r="A27" s="104"/>
      <c r="B27" s="104"/>
      <c r="C27" s="104"/>
      <c r="D27" s="104"/>
      <c r="E27" s="104"/>
      <c r="F27" s="104"/>
      <c r="G27" s="104"/>
      <c r="H27" s="104"/>
      <c r="I27" s="104"/>
      <c r="J27" s="104"/>
      <c r="K27" s="104"/>
      <c r="L27" s="104"/>
      <c r="N27" s="44" t="s">
        <v>46</v>
      </c>
      <c r="O27" s="63">
        <v>0.05</v>
      </c>
      <c r="P27" s="5"/>
      <c r="Q27" s="43"/>
      <c r="R27" s="52"/>
      <c r="S27" s="53"/>
      <c r="T27" s="52"/>
      <c r="U27" s="52"/>
      <c r="V27" s="52"/>
      <c r="W27" s="52"/>
      <c r="X27" s="52"/>
      <c r="Z27" s="54"/>
      <c r="AB27" s="54"/>
    </row>
    <row r="28" spans="1:28" s="51" customFormat="1" ht="15" customHeight="1" x14ac:dyDescent="0.25">
      <c r="A28" s="55" t="s">
        <v>84</v>
      </c>
      <c r="N28" s="45" t="s">
        <v>57</v>
      </c>
      <c r="O28" s="64">
        <v>0.05</v>
      </c>
      <c r="P28" s="5"/>
      <c r="Q28" s="43"/>
      <c r="R28" s="52"/>
      <c r="S28" s="53"/>
      <c r="T28" s="52"/>
      <c r="U28" s="52"/>
      <c r="V28" s="52"/>
      <c r="W28" s="52"/>
      <c r="X28" s="52"/>
      <c r="Z28" s="54"/>
      <c r="AB28" s="54"/>
    </row>
    <row r="29" spans="1:28" s="51" customFormat="1" ht="15" customHeight="1" x14ac:dyDescent="0.25">
      <c r="A29" s="103" t="s">
        <v>85</v>
      </c>
      <c r="B29" s="103"/>
      <c r="C29" s="103"/>
      <c r="D29" s="103"/>
      <c r="E29" s="103"/>
      <c r="F29" s="103"/>
      <c r="G29" s="103"/>
      <c r="H29" s="103"/>
      <c r="I29" s="103"/>
      <c r="J29" s="103"/>
      <c r="K29" s="103"/>
      <c r="L29" s="103"/>
      <c r="N29" s="44" t="s">
        <v>54</v>
      </c>
      <c r="O29" s="63">
        <v>0.05</v>
      </c>
      <c r="P29" s="5"/>
      <c r="Q29" s="43"/>
      <c r="R29" s="52"/>
      <c r="S29" s="53"/>
      <c r="T29" s="52"/>
      <c r="U29" s="52"/>
      <c r="V29" s="52"/>
      <c r="W29" s="52"/>
      <c r="X29" s="52"/>
      <c r="Z29" s="54"/>
      <c r="AB29" s="54"/>
    </row>
    <row r="30" spans="1:28" s="51" customFormat="1" ht="15" customHeight="1" x14ac:dyDescent="0.25">
      <c r="A30" s="103"/>
      <c r="B30" s="103"/>
      <c r="C30" s="103"/>
      <c r="D30" s="103"/>
      <c r="E30" s="103"/>
      <c r="F30" s="103"/>
      <c r="G30" s="103"/>
      <c r="H30" s="103"/>
      <c r="I30" s="103"/>
      <c r="J30" s="103"/>
      <c r="K30" s="103"/>
      <c r="L30" s="103"/>
      <c r="N30" s="45" t="s">
        <v>82</v>
      </c>
      <c r="O30" s="64">
        <v>0.05</v>
      </c>
      <c r="P30" s="5"/>
      <c r="Q30" s="43"/>
      <c r="R30" s="52"/>
      <c r="S30" s="53"/>
      <c r="T30" s="52"/>
      <c r="U30" s="52"/>
      <c r="V30" s="52"/>
      <c r="W30" s="52"/>
      <c r="X30" s="52"/>
      <c r="Z30" s="54"/>
      <c r="AB30" s="54"/>
    </row>
    <row r="31" spans="1:28" s="51" customFormat="1" ht="15" customHeight="1" x14ac:dyDescent="0.25">
      <c r="A31" s="103" t="s">
        <v>87</v>
      </c>
      <c r="B31" s="103"/>
      <c r="C31" s="103"/>
      <c r="D31" s="103"/>
      <c r="E31" s="103"/>
      <c r="F31" s="103"/>
      <c r="G31" s="103"/>
      <c r="H31" s="103"/>
      <c r="I31" s="103"/>
      <c r="J31" s="103"/>
      <c r="K31" s="108"/>
      <c r="L31" s="108"/>
      <c r="N31" s="44" t="s">
        <v>88</v>
      </c>
      <c r="O31" s="63">
        <v>0.04</v>
      </c>
      <c r="P31" s="5"/>
      <c r="Q31" s="43"/>
      <c r="R31" s="52"/>
      <c r="S31" s="53"/>
      <c r="T31" s="52"/>
      <c r="U31" s="52"/>
      <c r="V31" s="52"/>
      <c r="W31" s="52"/>
      <c r="X31" s="52"/>
      <c r="Z31" s="54"/>
      <c r="AB31" s="54"/>
    </row>
    <row r="32" spans="1:28" s="51" customFormat="1" ht="15" customHeight="1" x14ac:dyDescent="0.25">
      <c r="A32" s="103"/>
      <c r="B32" s="103"/>
      <c r="C32" s="103"/>
      <c r="D32" s="103"/>
      <c r="E32" s="103"/>
      <c r="F32" s="103"/>
      <c r="G32" s="103"/>
      <c r="H32" s="103"/>
      <c r="I32" s="103"/>
      <c r="J32" s="103"/>
      <c r="K32" s="108"/>
      <c r="L32" s="108"/>
      <c r="N32" s="42" t="s">
        <v>83</v>
      </c>
      <c r="O32" s="67">
        <v>0.04</v>
      </c>
      <c r="P32" s="52"/>
      <c r="Q32" s="52"/>
      <c r="R32" s="52"/>
      <c r="S32" s="53"/>
      <c r="T32" s="52"/>
      <c r="U32" s="52"/>
      <c r="V32" s="52"/>
      <c r="W32" s="52"/>
      <c r="X32" s="52"/>
      <c r="Z32" s="54"/>
      <c r="AB32" s="54"/>
    </row>
    <row r="33" spans="1:28" s="51" customFormat="1" ht="15" customHeight="1" x14ac:dyDescent="0.25">
      <c r="A33" s="103"/>
      <c r="B33" s="103"/>
      <c r="C33" s="103"/>
      <c r="D33" s="103"/>
      <c r="E33" s="103"/>
      <c r="F33" s="103"/>
      <c r="G33" s="103"/>
      <c r="H33" s="103"/>
      <c r="I33" s="103"/>
      <c r="J33" s="103"/>
      <c r="K33" s="108"/>
      <c r="L33" s="108"/>
      <c r="N33" s="45"/>
      <c r="O33" s="52"/>
      <c r="P33" s="52"/>
      <c r="Q33" s="52"/>
      <c r="R33" s="52"/>
      <c r="S33" s="53"/>
      <c r="T33" s="52"/>
      <c r="U33" s="52"/>
      <c r="V33" s="52"/>
      <c r="W33" s="52"/>
      <c r="X33" s="52"/>
      <c r="Z33" s="54"/>
      <c r="AB33" s="54"/>
    </row>
    <row r="34" spans="1:28" s="51" customFormat="1" ht="15" customHeight="1" x14ac:dyDescent="0.25">
      <c r="A34" s="81" t="s">
        <v>101</v>
      </c>
      <c r="O34" s="52"/>
      <c r="P34" s="52"/>
      <c r="Q34" s="52"/>
      <c r="R34" s="52"/>
      <c r="S34" s="53"/>
      <c r="T34" s="52"/>
      <c r="U34" s="52"/>
      <c r="V34" s="52"/>
      <c r="W34" s="52"/>
      <c r="X34" s="52"/>
      <c r="Z34" s="54"/>
      <c r="AB34" s="54"/>
    </row>
    <row r="35" spans="1:28" s="51" customFormat="1" ht="15" customHeight="1" x14ac:dyDescent="0.25">
      <c r="N35" s="45"/>
      <c r="O35" s="52"/>
      <c r="P35" s="52"/>
      <c r="Q35" s="52"/>
      <c r="R35" s="52"/>
      <c r="S35" s="53"/>
      <c r="T35" s="52"/>
      <c r="U35" s="52"/>
      <c r="V35" s="52"/>
      <c r="W35" s="52"/>
      <c r="X35" s="52"/>
      <c r="Z35" s="54"/>
      <c r="AB35" s="54"/>
    </row>
    <row r="36" spans="1:28" s="51" customFormat="1" ht="15" customHeight="1" x14ac:dyDescent="0.25">
      <c r="N36" s="45"/>
      <c r="O36" s="52"/>
      <c r="P36" s="52"/>
      <c r="Q36" s="52"/>
      <c r="R36" s="52"/>
      <c r="S36" s="53"/>
      <c r="T36" s="52"/>
      <c r="U36" s="52"/>
      <c r="V36" s="52"/>
      <c r="W36" s="52"/>
      <c r="X36" s="52"/>
      <c r="Z36" s="54"/>
      <c r="AB36" s="54"/>
    </row>
    <row r="37" spans="1:28" s="51" customFormat="1" ht="15" customHeight="1" x14ac:dyDescent="0.2">
      <c r="O37" s="52"/>
      <c r="P37" s="52"/>
      <c r="Q37" s="52"/>
      <c r="R37" s="52"/>
      <c r="S37" s="53"/>
      <c r="T37" s="52"/>
      <c r="U37" s="52"/>
      <c r="V37" s="52"/>
      <c r="W37" s="52"/>
      <c r="X37" s="52"/>
      <c r="Z37" s="54"/>
      <c r="AB37" s="54"/>
    </row>
    <row r="38" spans="1:28" s="51" customFormat="1" ht="15" customHeight="1" x14ac:dyDescent="0.2">
      <c r="O38" s="52"/>
      <c r="P38" s="52"/>
      <c r="Q38" s="52"/>
      <c r="R38" s="52"/>
      <c r="S38" s="53"/>
      <c r="T38" s="52"/>
      <c r="U38" s="52"/>
      <c r="V38" s="52"/>
      <c r="W38" s="52"/>
      <c r="X38" s="52"/>
      <c r="Z38" s="54"/>
      <c r="AB38" s="54"/>
    </row>
    <row r="39" spans="1:28" s="51" customFormat="1" ht="15" customHeight="1" x14ac:dyDescent="0.2">
      <c r="O39" s="52"/>
      <c r="P39" s="52"/>
      <c r="Q39" s="52"/>
      <c r="R39" s="52"/>
      <c r="S39" s="53"/>
      <c r="T39" s="52"/>
      <c r="U39" s="52"/>
      <c r="V39" s="52"/>
      <c r="W39" s="52"/>
      <c r="X39" s="52"/>
      <c r="Z39" s="54"/>
      <c r="AB39" s="54"/>
    </row>
    <row r="40" spans="1:28" s="51" customFormat="1" ht="15" customHeight="1" x14ac:dyDescent="0.2">
      <c r="O40" s="52"/>
      <c r="P40" s="52"/>
      <c r="Q40" s="52"/>
      <c r="R40" s="52"/>
      <c r="S40" s="53"/>
      <c r="T40" s="52"/>
      <c r="U40" s="52"/>
      <c r="V40" s="52"/>
      <c r="W40" s="52"/>
      <c r="X40" s="52"/>
      <c r="Z40" s="54"/>
      <c r="AB40" s="54"/>
    </row>
    <row r="41" spans="1:28" s="51" customFormat="1" ht="15" customHeight="1" x14ac:dyDescent="0.2">
      <c r="O41" s="52"/>
      <c r="P41" s="52"/>
      <c r="Q41" s="52"/>
      <c r="R41" s="52"/>
      <c r="S41" s="53"/>
      <c r="T41" s="52"/>
      <c r="U41" s="52"/>
      <c r="V41" s="52"/>
      <c r="W41" s="52"/>
      <c r="X41" s="52"/>
      <c r="Z41" s="54"/>
      <c r="AB41" s="54"/>
    </row>
    <row r="42" spans="1:28" s="51" customFormat="1" ht="15" customHeight="1" x14ac:dyDescent="0.2">
      <c r="O42" s="52"/>
      <c r="P42" s="52"/>
      <c r="Q42" s="52"/>
      <c r="R42" s="52"/>
      <c r="S42" s="53"/>
      <c r="T42" s="52"/>
      <c r="U42" s="52"/>
      <c r="V42" s="52"/>
      <c r="W42" s="52"/>
      <c r="X42" s="52"/>
      <c r="Z42" s="54"/>
      <c r="AB42" s="54"/>
    </row>
    <row r="43" spans="1:28" s="51" customFormat="1" ht="15" customHeight="1" x14ac:dyDescent="0.2">
      <c r="C43" s="57"/>
      <c r="O43" s="52"/>
      <c r="P43" s="52"/>
      <c r="Q43" s="52"/>
      <c r="R43" s="52"/>
      <c r="S43" s="53"/>
      <c r="T43" s="52"/>
      <c r="U43" s="52"/>
      <c r="V43" s="52"/>
      <c r="W43" s="52"/>
      <c r="X43" s="52"/>
      <c r="Z43" s="54"/>
      <c r="AB43" s="54"/>
    </row>
    <row r="44" spans="1:28" s="51" customFormat="1" ht="15" customHeight="1" x14ac:dyDescent="0.2">
      <c r="C44" s="57"/>
      <c r="O44" s="52"/>
      <c r="P44" s="52"/>
      <c r="Q44" s="52"/>
      <c r="R44" s="52"/>
      <c r="S44" s="53"/>
      <c r="T44" s="52"/>
      <c r="U44" s="52"/>
      <c r="V44" s="52"/>
      <c r="W44" s="52"/>
      <c r="X44" s="52"/>
      <c r="Z44" s="54"/>
      <c r="AB44" s="54"/>
    </row>
    <row r="45" spans="1:28" s="51" customFormat="1" ht="15" customHeight="1" x14ac:dyDescent="0.2">
      <c r="C45" s="57"/>
      <c r="O45" s="52"/>
      <c r="P45" s="52"/>
      <c r="Q45" s="52"/>
      <c r="R45" s="52"/>
      <c r="S45" s="53"/>
      <c r="T45" s="52"/>
      <c r="U45" s="52"/>
      <c r="V45" s="52"/>
      <c r="W45" s="52"/>
      <c r="X45" s="52"/>
      <c r="Z45" s="54"/>
      <c r="AB45" s="54"/>
    </row>
    <row r="46" spans="1:28" s="51" customFormat="1" ht="15" customHeight="1" x14ac:dyDescent="0.2">
      <c r="C46" s="57"/>
      <c r="O46" s="52"/>
      <c r="P46" s="52"/>
      <c r="Q46" s="52"/>
      <c r="R46" s="52"/>
      <c r="S46" s="53"/>
      <c r="T46" s="52"/>
      <c r="U46" s="52"/>
      <c r="V46" s="52"/>
      <c r="W46" s="52"/>
      <c r="X46" s="52"/>
      <c r="Z46" s="54"/>
      <c r="AB46" s="54"/>
    </row>
    <row r="47" spans="1:28" s="51" customFormat="1" ht="15" customHeight="1" x14ac:dyDescent="0.2">
      <c r="C47" s="57"/>
      <c r="O47" s="52"/>
      <c r="P47" s="52"/>
      <c r="Q47" s="52"/>
      <c r="R47" s="52"/>
      <c r="S47" s="52"/>
      <c r="T47" s="52"/>
      <c r="U47" s="52"/>
      <c r="V47" s="52"/>
      <c r="W47" s="52"/>
      <c r="X47" s="52"/>
    </row>
    <row r="48" spans="1:28" s="51" customFormat="1" ht="15" customHeight="1" x14ac:dyDescent="0.25">
      <c r="C48" s="57"/>
      <c r="N48" s="45"/>
      <c r="O48" s="52"/>
      <c r="P48" s="52"/>
      <c r="Q48" s="52"/>
      <c r="R48" s="52"/>
      <c r="S48" s="52"/>
      <c r="T48" s="52"/>
      <c r="U48" s="52"/>
      <c r="V48" s="52"/>
      <c r="W48" s="52"/>
      <c r="X48" s="52"/>
    </row>
    <row r="49" spans="3:24" s="51" customFormat="1" ht="15" customHeight="1" x14ac:dyDescent="0.25">
      <c r="C49" s="57"/>
      <c r="N49" s="45"/>
      <c r="O49" s="52"/>
      <c r="P49" s="52"/>
      <c r="Q49" s="52"/>
      <c r="R49" s="52"/>
      <c r="S49" s="52"/>
      <c r="T49" s="52"/>
      <c r="U49" s="52"/>
      <c r="V49" s="52"/>
      <c r="W49" s="52"/>
      <c r="X49" s="52"/>
    </row>
    <row r="50" spans="3:24" s="51" customFormat="1" ht="15" customHeight="1" x14ac:dyDescent="0.25">
      <c r="C50" s="57"/>
      <c r="N50" s="45"/>
      <c r="O50" s="52"/>
      <c r="P50" s="52"/>
      <c r="Q50" s="52"/>
      <c r="R50" s="52"/>
      <c r="S50" s="52"/>
      <c r="T50" s="52"/>
      <c r="U50" s="52"/>
      <c r="V50" s="52"/>
      <c r="W50" s="52"/>
      <c r="X50" s="52"/>
    </row>
    <row r="51" spans="3:24" s="51" customFormat="1" ht="15" customHeight="1" x14ac:dyDescent="0.25">
      <c r="C51" s="57"/>
      <c r="N51" s="45"/>
      <c r="O51" s="52"/>
      <c r="P51" s="52"/>
      <c r="Q51" s="52"/>
      <c r="R51" s="52"/>
      <c r="S51" s="52"/>
      <c r="T51" s="52"/>
      <c r="U51" s="52"/>
      <c r="V51" s="52"/>
      <c r="W51" s="52"/>
      <c r="X51" s="52"/>
    </row>
    <row r="52" spans="3:24" s="51" customFormat="1" ht="15" customHeight="1" x14ac:dyDescent="0.25">
      <c r="C52" s="57"/>
      <c r="N52" s="45"/>
      <c r="O52" s="52"/>
      <c r="P52" s="52"/>
      <c r="Q52" s="52"/>
      <c r="R52" s="52"/>
      <c r="S52" s="52"/>
      <c r="T52" s="52"/>
      <c r="U52" s="52"/>
      <c r="V52" s="52"/>
      <c r="W52" s="52"/>
      <c r="X52" s="52"/>
    </row>
    <row r="53" spans="3:24" s="51" customFormat="1" ht="15" customHeight="1" x14ac:dyDescent="0.25">
      <c r="C53" s="57"/>
      <c r="N53" s="45"/>
      <c r="O53" s="52"/>
      <c r="P53" s="52"/>
      <c r="Q53" s="52"/>
      <c r="R53" s="52"/>
      <c r="S53" s="52"/>
      <c r="T53" s="52"/>
      <c r="U53" s="52"/>
      <c r="V53" s="52"/>
      <c r="W53" s="52"/>
      <c r="X53" s="52"/>
    </row>
    <row r="54" spans="3:24" s="51" customFormat="1" ht="15" customHeight="1" x14ac:dyDescent="0.25">
      <c r="C54" s="57"/>
      <c r="N54" s="45"/>
      <c r="O54" s="52"/>
      <c r="P54" s="52"/>
      <c r="Q54" s="52"/>
      <c r="R54" s="52"/>
      <c r="S54" s="52"/>
      <c r="T54" s="52"/>
      <c r="U54" s="52"/>
      <c r="V54" s="52"/>
      <c r="W54" s="52"/>
      <c r="X54" s="52"/>
    </row>
    <row r="55" spans="3:24" s="51" customFormat="1" ht="15" customHeight="1" x14ac:dyDescent="0.2">
      <c r="C55" s="57"/>
      <c r="O55" s="52"/>
      <c r="P55" s="52"/>
      <c r="Q55" s="52"/>
      <c r="R55" s="52"/>
      <c r="S55" s="52"/>
      <c r="T55" s="52"/>
      <c r="U55" s="52"/>
      <c r="V55" s="52"/>
      <c r="W55" s="52"/>
      <c r="X55" s="52"/>
    </row>
    <row r="56" spans="3:24" s="51" customFormat="1" ht="15" customHeight="1" x14ac:dyDescent="0.2">
      <c r="C56" s="57"/>
      <c r="O56" s="52"/>
      <c r="P56" s="52"/>
      <c r="Q56" s="52"/>
      <c r="R56" s="52"/>
      <c r="S56" s="52"/>
      <c r="T56" s="52"/>
      <c r="U56" s="52"/>
      <c r="V56" s="52"/>
      <c r="W56" s="52"/>
      <c r="X56" s="52"/>
    </row>
    <row r="57" spans="3:24" s="51" customFormat="1" ht="15" customHeight="1" x14ac:dyDescent="0.2">
      <c r="C57" s="57"/>
      <c r="O57" s="52"/>
      <c r="P57" s="52"/>
      <c r="Q57" s="52"/>
      <c r="R57" s="52"/>
      <c r="S57" s="52"/>
      <c r="T57" s="52"/>
      <c r="U57" s="52"/>
      <c r="V57" s="52"/>
      <c r="W57" s="52"/>
      <c r="X57" s="52"/>
    </row>
    <row r="58" spans="3:24" s="51" customFormat="1" ht="15" customHeight="1" x14ac:dyDescent="0.2">
      <c r="C58" s="57"/>
      <c r="O58" s="52"/>
      <c r="P58" s="52"/>
      <c r="Q58" s="52"/>
      <c r="R58" s="52"/>
      <c r="S58" s="52"/>
      <c r="T58" s="52"/>
      <c r="U58" s="52"/>
      <c r="V58" s="52"/>
      <c r="W58" s="52"/>
      <c r="X58" s="52"/>
    </row>
    <row r="59" spans="3:24" s="51" customFormat="1" ht="15" customHeight="1" x14ac:dyDescent="0.2">
      <c r="C59" s="57"/>
      <c r="O59" s="52"/>
      <c r="P59" s="52"/>
      <c r="Q59" s="52"/>
      <c r="R59" s="52"/>
      <c r="S59" s="52"/>
      <c r="T59" s="52"/>
      <c r="U59" s="52"/>
      <c r="V59" s="52"/>
      <c r="W59" s="52"/>
      <c r="X59" s="52"/>
    </row>
    <row r="60" spans="3:24" s="51" customFormat="1" ht="15" customHeight="1" x14ac:dyDescent="0.2">
      <c r="C60" s="57"/>
      <c r="O60" s="52"/>
      <c r="P60" s="52"/>
      <c r="Q60" s="52"/>
      <c r="R60" s="52"/>
      <c r="S60" s="52"/>
      <c r="T60" s="52"/>
      <c r="U60" s="52"/>
      <c r="V60" s="52"/>
      <c r="W60" s="52"/>
      <c r="X60" s="52"/>
    </row>
    <row r="61" spans="3:24" s="51" customFormat="1" ht="15" customHeight="1" x14ac:dyDescent="0.2">
      <c r="C61" s="57"/>
      <c r="O61" s="52"/>
      <c r="P61" s="52"/>
      <c r="Q61" s="52"/>
      <c r="R61" s="52"/>
      <c r="S61" s="52"/>
      <c r="T61" s="52"/>
      <c r="U61" s="52"/>
      <c r="V61" s="52"/>
      <c r="W61" s="52"/>
      <c r="X61" s="52"/>
    </row>
    <row r="62" spans="3:24" s="51" customFormat="1" ht="15" customHeight="1" x14ac:dyDescent="0.2">
      <c r="C62" s="57"/>
      <c r="O62" s="52"/>
      <c r="P62" s="52"/>
      <c r="Q62" s="52"/>
      <c r="R62" s="52"/>
      <c r="S62" s="52"/>
      <c r="T62" s="52"/>
      <c r="U62" s="52"/>
      <c r="V62" s="52"/>
      <c r="W62" s="52"/>
      <c r="X62" s="52"/>
    </row>
    <row r="63" spans="3:24" s="51" customFormat="1" ht="15" customHeight="1" x14ac:dyDescent="0.2">
      <c r="C63" s="57"/>
      <c r="O63" s="52"/>
      <c r="P63" s="52"/>
      <c r="Q63" s="52"/>
      <c r="R63" s="52"/>
      <c r="S63" s="52"/>
      <c r="T63" s="52"/>
      <c r="U63" s="52"/>
      <c r="V63" s="52"/>
      <c r="W63" s="52"/>
      <c r="X63" s="52"/>
    </row>
    <row r="64" spans="3:24" s="51" customFormat="1" ht="15" customHeight="1" x14ac:dyDescent="0.2">
      <c r="C64" s="57"/>
      <c r="O64" s="52"/>
      <c r="P64" s="52"/>
      <c r="Q64" s="52"/>
      <c r="R64" s="52"/>
      <c r="S64" s="52"/>
      <c r="T64" s="52"/>
      <c r="U64" s="52"/>
      <c r="V64" s="52"/>
      <c r="W64" s="52"/>
      <c r="X64" s="52"/>
    </row>
    <row r="65" spans="1:24" s="51" customFormat="1" ht="15" customHeight="1" x14ac:dyDescent="0.2">
      <c r="C65" s="57"/>
      <c r="O65" s="52"/>
      <c r="P65" s="52"/>
      <c r="Q65" s="52"/>
      <c r="R65" s="52"/>
      <c r="S65" s="52"/>
      <c r="T65" s="52"/>
      <c r="U65" s="52"/>
      <c r="V65" s="52"/>
      <c r="W65" s="52"/>
      <c r="X65" s="52"/>
    </row>
    <row r="66" spans="1:24" s="51" customFormat="1" ht="15" customHeight="1" x14ac:dyDescent="0.2">
      <c r="C66" s="57"/>
      <c r="O66" s="52"/>
      <c r="P66" s="52"/>
      <c r="Q66" s="52"/>
      <c r="R66" s="52"/>
      <c r="S66" s="52"/>
      <c r="T66" s="52"/>
      <c r="U66" s="52"/>
      <c r="V66" s="52"/>
      <c r="W66" s="52"/>
      <c r="X66" s="52"/>
    </row>
    <row r="67" spans="1:24" s="51" customFormat="1" ht="15" customHeight="1" x14ac:dyDescent="0.2">
      <c r="C67" s="57"/>
      <c r="O67" s="52"/>
      <c r="P67" s="52"/>
      <c r="Q67" s="52"/>
      <c r="R67" s="52"/>
      <c r="S67" s="52"/>
      <c r="T67" s="52"/>
      <c r="U67" s="52"/>
      <c r="V67" s="52"/>
      <c r="W67" s="52"/>
      <c r="X67" s="52"/>
    </row>
    <row r="68" spans="1:24" s="51" customFormat="1" ht="15" customHeight="1" x14ac:dyDescent="0.2">
      <c r="C68" s="57"/>
      <c r="O68" s="52"/>
      <c r="P68" s="52"/>
      <c r="Q68" s="52"/>
      <c r="R68" s="52"/>
      <c r="S68" s="52"/>
      <c r="T68" s="52"/>
      <c r="U68" s="52"/>
      <c r="V68" s="52"/>
      <c r="W68" s="52"/>
      <c r="X68" s="52"/>
    </row>
    <row r="69" spans="1:24" s="51" customFormat="1" ht="15" customHeight="1" x14ac:dyDescent="0.2">
      <c r="C69" s="57"/>
      <c r="O69" s="52"/>
      <c r="P69" s="52"/>
      <c r="Q69" s="52"/>
      <c r="R69" s="52"/>
      <c r="S69" s="52"/>
      <c r="T69" s="52"/>
      <c r="U69" s="52"/>
      <c r="V69" s="52"/>
      <c r="W69" s="52"/>
      <c r="X69" s="52"/>
    </row>
    <row r="70" spans="1:24" s="51" customFormat="1" ht="15" customHeight="1" x14ac:dyDescent="0.2">
      <c r="C70" s="57"/>
      <c r="O70" s="52"/>
      <c r="P70" s="52"/>
      <c r="Q70" s="52"/>
      <c r="R70" s="52"/>
      <c r="S70" s="52"/>
      <c r="T70" s="52"/>
      <c r="U70" s="52"/>
      <c r="V70" s="52"/>
      <c r="W70" s="52"/>
      <c r="X70" s="52"/>
    </row>
    <row r="71" spans="1:24" s="51" customFormat="1" ht="15" customHeight="1" x14ac:dyDescent="0.2">
      <c r="C71" s="57"/>
      <c r="O71" s="52"/>
      <c r="P71" s="52"/>
      <c r="Q71" s="52"/>
      <c r="R71" s="52"/>
      <c r="S71" s="52"/>
      <c r="T71" s="52"/>
      <c r="U71" s="52"/>
      <c r="V71" s="52"/>
      <c r="W71" s="52"/>
      <c r="X71" s="52"/>
    </row>
    <row r="72" spans="1:24" s="51" customFormat="1" ht="15" customHeight="1" x14ac:dyDescent="0.2">
      <c r="C72" s="57"/>
      <c r="O72" s="52"/>
      <c r="P72" s="52"/>
      <c r="Q72" s="52"/>
      <c r="R72" s="52"/>
      <c r="S72" s="52"/>
      <c r="T72" s="52"/>
      <c r="U72" s="52"/>
      <c r="V72" s="52"/>
      <c r="W72" s="52"/>
      <c r="X72" s="52"/>
    </row>
    <row r="73" spans="1:24" s="51" customFormat="1" ht="12" customHeight="1" x14ac:dyDescent="0.2">
      <c r="C73" s="57"/>
      <c r="O73" s="52"/>
      <c r="P73" s="52"/>
      <c r="Q73" s="52"/>
      <c r="R73" s="52"/>
      <c r="S73" s="52"/>
      <c r="T73" s="52"/>
      <c r="U73" s="52"/>
      <c r="V73" s="52"/>
      <c r="W73" s="52"/>
      <c r="X73" s="52"/>
    </row>
    <row r="74" spans="1:24" s="51" customFormat="1" ht="12" customHeight="1" x14ac:dyDescent="0.2">
      <c r="C74" s="57"/>
      <c r="O74" s="52"/>
      <c r="P74" s="52"/>
      <c r="Q74" s="52"/>
      <c r="R74" s="52"/>
      <c r="S74" s="52"/>
      <c r="T74" s="52"/>
      <c r="U74" s="52"/>
      <c r="V74" s="52"/>
      <c r="W74" s="52"/>
      <c r="X74" s="52"/>
    </row>
    <row r="75" spans="1:24" s="51" customFormat="1" ht="12" customHeight="1" x14ac:dyDescent="0.2">
      <c r="C75" s="57"/>
      <c r="O75" s="52"/>
      <c r="P75" s="52"/>
      <c r="Q75" s="52"/>
      <c r="R75" s="52"/>
      <c r="S75" s="52"/>
      <c r="T75" s="52"/>
      <c r="U75" s="52"/>
      <c r="V75" s="52"/>
      <c r="W75" s="52"/>
      <c r="X75" s="52"/>
    </row>
    <row r="76" spans="1:24" s="51" customFormat="1" ht="12" customHeight="1" x14ac:dyDescent="0.2">
      <c r="C76" s="57"/>
      <c r="O76" s="52"/>
      <c r="P76" s="52"/>
      <c r="Q76" s="52"/>
      <c r="R76" s="52"/>
      <c r="S76" s="52"/>
      <c r="T76" s="52"/>
      <c r="U76" s="52"/>
      <c r="V76" s="52"/>
      <c r="W76" s="52"/>
      <c r="X76" s="52"/>
    </row>
    <row r="77" spans="1:24" s="51" customFormat="1" ht="12" customHeight="1" x14ac:dyDescent="0.25">
      <c r="C77" s="58"/>
      <c r="N77" s="41"/>
      <c r="O77" s="43"/>
      <c r="P77" s="52"/>
      <c r="Q77" s="52"/>
      <c r="R77" s="52"/>
      <c r="S77" s="52"/>
      <c r="T77" s="52"/>
      <c r="U77" s="52"/>
      <c r="V77" s="52"/>
      <c r="W77" s="52"/>
      <c r="X77" s="52"/>
    </row>
    <row r="78" spans="1:24" s="51" customFormat="1" x14ac:dyDescent="0.25">
      <c r="C78" s="57"/>
      <c r="M78" s="41"/>
      <c r="N78" s="41"/>
      <c r="O78" s="43"/>
      <c r="P78" s="52"/>
      <c r="Q78" s="52"/>
      <c r="R78" s="52"/>
      <c r="S78" s="52"/>
      <c r="T78" s="52"/>
      <c r="U78" s="52"/>
      <c r="V78" s="52"/>
      <c r="W78" s="52"/>
      <c r="X78" s="52"/>
    </row>
    <row r="79" spans="1:24" x14ac:dyDescent="0.25">
      <c r="A79" s="51"/>
      <c r="B79" s="51"/>
      <c r="C79" s="57"/>
      <c r="D79" s="51"/>
      <c r="E79" s="51"/>
      <c r="F79" s="51"/>
      <c r="G79" s="51"/>
      <c r="H79" s="51"/>
      <c r="I79" s="51"/>
      <c r="J79" s="51"/>
      <c r="K79" s="51"/>
      <c r="L79" s="51"/>
    </row>
    <row r="80" spans="1:24" x14ac:dyDescent="0.25">
      <c r="A80" s="51"/>
      <c r="B80" s="51"/>
      <c r="C80" s="58"/>
      <c r="D80" s="51"/>
      <c r="E80" s="51"/>
      <c r="F80" s="51"/>
      <c r="G80" s="51"/>
      <c r="H80" s="51"/>
      <c r="I80" s="51"/>
      <c r="J80" s="51"/>
      <c r="K80" s="51"/>
      <c r="L80" s="51"/>
    </row>
    <row r="81" spans="1:12" x14ac:dyDescent="0.25">
      <c r="A81" s="51"/>
      <c r="B81" s="51"/>
      <c r="C81" s="51"/>
      <c r="D81" s="51"/>
      <c r="E81" s="51"/>
      <c r="F81" s="51"/>
      <c r="G81" s="51"/>
      <c r="H81" s="51"/>
      <c r="I81" s="51"/>
      <c r="J81" s="51"/>
      <c r="K81" s="51"/>
      <c r="L81" s="51"/>
    </row>
  </sheetData>
  <sortState xmlns:xlrd2="http://schemas.microsoft.com/office/spreadsheetml/2017/richdata2" ref="N3:O32">
    <sortCondition descending="1" ref="O3:O32"/>
  </sortState>
  <mergeCells count="7">
    <mergeCell ref="N1:O1"/>
    <mergeCell ref="A31:L33"/>
    <mergeCell ref="A29:L30"/>
    <mergeCell ref="A26:L27"/>
    <mergeCell ref="A2:L3"/>
    <mergeCell ref="A1:L1"/>
    <mergeCell ref="A19:L24"/>
  </mergeCells>
  <hyperlinks>
    <hyperlink ref="A28" r:id="rId1" xr:uid="{7F909E04-0769-4ECF-9F20-EDD458031536}"/>
  </hyperlinks>
  <pageMargins left="0.70866141732283472" right="0.70866141732283472" top="0.74803149606299213" bottom="0.74803149606299213" header="0.31496062992125984" footer="0.31496062992125984"/>
  <pageSetup paperSize="9" scale="71" orientation="portrait" r:id="rId2"/>
  <headerFooter>
    <oddFooter>&amp;C_x000D_&amp;1#&amp;"Calibri"&amp;10&amp;K0000FF Restricted Use - À usage restreint</odd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D47D8-0278-4481-AF11-85AA8CF0124E}">
  <dimension ref="A1:EH30"/>
  <sheetViews>
    <sheetView workbookViewId="0">
      <selection sqref="A1:J2"/>
    </sheetView>
  </sheetViews>
  <sheetFormatPr defaultRowHeight="15" x14ac:dyDescent="0.25"/>
  <cols>
    <col min="1" max="8" width="8.7109375" style="5"/>
    <col min="9" max="9" width="18" style="5" customWidth="1"/>
    <col min="10" max="10" width="11.5703125" style="5" customWidth="1"/>
    <col min="11" max="12" width="8.7109375" style="5"/>
    <col min="13" max="13" width="13.140625" style="5" customWidth="1"/>
    <col min="14" max="14" width="40.5703125" style="5" customWidth="1"/>
    <col min="15" max="138" width="8.7109375" style="5"/>
  </cols>
  <sheetData>
    <row r="1" spans="1:14" ht="20.100000000000001" customHeight="1" x14ac:dyDescent="0.3">
      <c r="A1" s="99" t="s">
        <v>102</v>
      </c>
      <c r="B1" s="99"/>
      <c r="C1" s="99"/>
      <c r="D1" s="99"/>
      <c r="E1" s="99"/>
      <c r="F1" s="99"/>
      <c r="G1" s="99"/>
      <c r="H1" s="99"/>
      <c r="I1" s="99"/>
      <c r="J1" s="99"/>
      <c r="M1" s="10"/>
      <c r="N1" s="95" t="s">
        <v>77</v>
      </c>
    </row>
    <row r="2" spans="1:14" ht="14.45" customHeight="1" x14ac:dyDescent="0.3">
      <c r="A2" s="99"/>
      <c r="B2" s="99"/>
      <c r="C2" s="99"/>
      <c r="D2" s="99"/>
      <c r="E2" s="99"/>
      <c r="F2" s="99"/>
      <c r="G2" s="99"/>
      <c r="H2" s="99"/>
      <c r="I2" s="99"/>
      <c r="J2" s="99"/>
      <c r="M2" s="11"/>
      <c r="N2" s="96"/>
    </row>
    <row r="3" spans="1:14" ht="13.5" customHeight="1" x14ac:dyDescent="0.3">
      <c r="A3" s="98" t="s">
        <v>114</v>
      </c>
      <c r="B3" s="98"/>
      <c r="C3" s="98"/>
      <c r="D3" s="98"/>
      <c r="E3" s="98"/>
      <c r="F3" s="98"/>
      <c r="G3" s="98"/>
      <c r="H3" s="98"/>
      <c r="I3" s="98"/>
      <c r="J3" s="98"/>
      <c r="L3" s="6"/>
      <c r="M3" s="37" t="s">
        <v>39</v>
      </c>
      <c r="N3" s="38">
        <v>0.31616157293319702</v>
      </c>
    </row>
    <row r="4" spans="1:14" ht="16.5" x14ac:dyDescent="0.3">
      <c r="A4" s="98"/>
      <c r="B4" s="98"/>
      <c r="C4" s="98"/>
      <c r="D4" s="98"/>
      <c r="E4" s="98"/>
      <c r="F4" s="98"/>
      <c r="G4" s="98"/>
      <c r="H4" s="98"/>
      <c r="I4" s="98"/>
      <c r="J4" s="98"/>
      <c r="L4" s="6"/>
      <c r="M4" s="8" t="s">
        <v>44</v>
      </c>
      <c r="N4" s="20">
        <v>0.29925453662872314</v>
      </c>
    </row>
    <row r="5" spans="1:14" ht="16.5" x14ac:dyDescent="0.3">
      <c r="A5" s="98"/>
      <c r="B5" s="98"/>
      <c r="C5" s="98"/>
      <c r="D5" s="98"/>
      <c r="E5" s="98"/>
      <c r="F5" s="98"/>
      <c r="G5" s="98"/>
      <c r="H5" s="98"/>
      <c r="I5" s="98"/>
      <c r="J5" s="98"/>
      <c r="L5" s="6"/>
      <c r="M5" s="9" t="s">
        <v>55</v>
      </c>
      <c r="N5" s="19">
        <v>0.29893743991851807</v>
      </c>
    </row>
    <row r="6" spans="1:14" ht="16.5" x14ac:dyDescent="0.3">
      <c r="A6" s="7"/>
      <c r="B6" s="7"/>
      <c r="C6" s="7"/>
      <c r="D6" s="7"/>
      <c r="E6" s="7"/>
      <c r="F6" s="7"/>
      <c r="G6" s="7"/>
      <c r="H6" s="7"/>
      <c r="I6" s="7"/>
      <c r="L6" s="6"/>
      <c r="M6" s="8" t="s">
        <v>37</v>
      </c>
      <c r="N6" s="20">
        <v>0.29810827970504761</v>
      </c>
    </row>
    <row r="7" spans="1:14" ht="16.5" x14ac:dyDescent="0.3">
      <c r="A7" s="7"/>
      <c r="B7" s="7"/>
      <c r="C7" s="7"/>
      <c r="D7" s="7"/>
      <c r="E7" s="7"/>
      <c r="F7" s="7"/>
      <c r="G7" s="7"/>
      <c r="H7" s="7"/>
      <c r="I7" s="7"/>
      <c r="L7" s="6"/>
      <c r="M7" s="9" t="s">
        <v>52</v>
      </c>
      <c r="N7" s="19">
        <v>0.29613220691680908</v>
      </c>
    </row>
    <row r="8" spans="1:14" ht="16.5" x14ac:dyDescent="0.3">
      <c r="A8" s="7"/>
      <c r="B8" s="7"/>
      <c r="C8" s="7"/>
      <c r="D8" s="7"/>
      <c r="E8" s="7"/>
      <c r="F8" s="7"/>
      <c r="G8" s="7"/>
      <c r="H8" s="7"/>
      <c r="I8" s="7"/>
      <c r="L8" s="6"/>
      <c r="M8" s="8" t="s">
        <v>41</v>
      </c>
      <c r="N8" s="20">
        <v>0.29206389188766479</v>
      </c>
    </row>
    <row r="9" spans="1:14" ht="16.5" x14ac:dyDescent="0.3">
      <c r="A9" s="7"/>
      <c r="B9" s="7"/>
      <c r="C9" s="7"/>
      <c r="D9" s="7"/>
      <c r="E9" s="7"/>
      <c r="F9" s="7"/>
      <c r="G9" s="7"/>
      <c r="H9" s="7"/>
      <c r="I9" s="7"/>
      <c r="L9" s="6"/>
      <c r="M9" s="9" t="s">
        <v>62</v>
      </c>
      <c r="N9" s="19">
        <v>0.2813357412815094</v>
      </c>
    </row>
    <row r="10" spans="1:14" ht="16.5" x14ac:dyDescent="0.3">
      <c r="A10" s="7"/>
      <c r="B10" s="7"/>
      <c r="C10" s="7"/>
      <c r="D10" s="7"/>
      <c r="E10" s="7"/>
      <c r="F10" s="7"/>
      <c r="G10" s="7"/>
      <c r="H10" s="7"/>
      <c r="I10" s="7"/>
      <c r="L10" s="6"/>
      <c r="M10" s="8" t="s">
        <v>38</v>
      </c>
      <c r="N10" s="20">
        <v>0.27818641066551208</v>
      </c>
    </row>
    <row r="11" spans="1:14" ht="16.5" x14ac:dyDescent="0.3">
      <c r="A11" s="7"/>
      <c r="B11" s="7"/>
      <c r="C11" s="7"/>
      <c r="D11" s="7"/>
      <c r="E11" s="7"/>
      <c r="F11" s="7"/>
      <c r="G11" s="7"/>
      <c r="H11" s="7"/>
      <c r="I11" s="7"/>
      <c r="L11" s="6"/>
      <c r="M11" s="9" t="s">
        <v>53</v>
      </c>
      <c r="N11" s="19">
        <v>0.25987783074378967</v>
      </c>
    </row>
    <row r="12" spans="1:14" ht="16.5" x14ac:dyDescent="0.3">
      <c r="A12" s="7"/>
      <c r="B12" s="7"/>
      <c r="C12" s="7"/>
      <c r="D12" s="7"/>
      <c r="E12" s="7"/>
      <c r="F12" s="7"/>
      <c r="G12" s="7"/>
      <c r="H12" s="7"/>
      <c r="I12" s="7"/>
      <c r="L12" s="6"/>
      <c r="M12" s="8" t="s">
        <v>60</v>
      </c>
      <c r="N12" s="20">
        <v>0.25985708832740784</v>
      </c>
    </row>
    <row r="13" spans="1:14" ht="16.5" x14ac:dyDescent="0.3">
      <c r="A13" s="7"/>
      <c r="B13" s="7"/>
      <c r="C13" s="7"/>
      <c r="D13" s="7"/>
      <c r="E13" s="7"/>
      <c r="F13" s="7"/>
      <c r="G13" s="7"/>
      <c r="H13" s="7"/>
      <c r="I13" s="7"/>
      <c r="L13" s="6"/>
      <c r="M13" s="9" t="s">
        <v>40</v>
      </c>
      <c r="N13" s="19">
        <v>0.24135515093803406</v>
      </c>
    </row>
    <row r="14" spans="1:14" ht="16.5" x14ac:dyDescent="0.3">
      <c r="A14" s="7"/>
      <c r="B14" s="7"/>
      <c r="C14" s="7"/>
      <c r="D14" s="7"/>
      <c r="E14" s="7"/>
      <c r="F14" s="7"/>
      <c r="G14" s="7"/>
      <c r="H14" s="7"/>
      <c r="I14" s="7"/>
      <c r="L14" s="6"/>
      <c r="M14" s="8" t="s">
        <v>63</v>
      </c>
      <c r="N14" s="20">
        <v>0.22503958642482758</v>
      </c>
    </row>
    <row r="15" spans="1:14" ht="16.5" x14ac:dyDescent="0.3">
      <c r="A15" s="7"/>
      <c r="B15" s="7"/>
      <c r="C15" s="7"/>
      <c r="D15" s="7"/>
      <c r="E15" s="7"/>
      <c r="F15" s="7"/>
      <c r="G15" s="7"/>
      <c r="H15" s="7"/>
      <c r="I15" s="7"/>
      <c r="L15" s="6"/>
      <c r="M15" s="15" t="s">
        <v>65</v>
      </c>
      <c r="N15" s="31">
        <v>0.22098361645583753</v>
      </c>
    </row>
    <row r="16" spans="1:14" ht="16.5" x14ac:dyDescent="0.3">
      <c r="A16" s="7"/>
      <c r="B16" s="7"/>
      <c r="C16" s="7"/>
      <c r="D16" s="7"/>
      <c r="E16" s="7"/>
      <c r="F16" s="7"/>
      <c r="G16" s="7"/>
      <c r="H16" s="7"/>
      <c r="I16" s="7"/>
      <c r="L16" s="6"/>
      <c r="M16" s="8" t="s">
        <v>50</v>
      </c>
      <c r="N16" s="20">
        <v>0.20843544602394104</v>
      </c>
    </row>
    <row r="17" spans="1:14" ht="16.5" x14ac:dyDescent="0.3">
      <c r="A17" s="7"/>
      <c r="B17" s="7"/>
      <c r="C17" s="7"/>
      <c r="D17" s="7"/>
      <c r="E17" s="7"/>
      <c r="F17" s="7"/>
      <c r="G17" s="7"/>
      <c r="H17" s="7"/>
      <c r="I17" s="7"/>
      <c r="L17" s="6"/>
      <c r="M17" s="9" t="s">
        <v>43</v>
      </c>
      <c r="N17" s="19">
        <v>0.20264603197574615</v>
      </c>
    </row>
    <row r="18" spans="1:14" ht="16.5" x14ac:dyDescent="0.3">
      <c r="A18" s="7"/>
      <c r="B18" s="7"/>
      <c r="C18" s="7"/>
      <c r="D18" s="7"/>
      <c r="E18" s="7"/>
      <c r="F18" s="7"/>
      <c r="G18" s="7"/>
      <c r="H18" s="7"/>
      <c r="I18" s="7"/>
      <c r="L18" s="6"/>
      <c r="M18" s="8" t="s">
        <v>48</v>
      </c>
      <c r="N18" s="20">
        <v>0.20092391967773438</v>
      </c>
    </row>
    <row r="19" spans="1:14" ht="16.5" x14ac:dyDescent="0.3">
      <c r="B19" s="7"/>
      <c r="C19" s="7"/>
      <c r="D19" s="7"/>
      <c r="E19" s="7"/>
      <c r="F19" s="7"/>
      <c r="G19" s="7"/>
      <c r="H19" s="7"/>
      <c r="I19" s="7"/>
      <c r="L19" s="6"/>
      <c r="M19" s="9" t="s">
        <v>42</v>
      </c>
      <c r="N19" s="19">
        <v>0.1967351883649826</v>
      </c>
    </row>
    <row r="20" spans="1:14" ht="16.5" x14ac:dyDescent="0.3">
      <c r="B20" s="7"/>
      <c r="C20" s="7"/>
      <c r="D20" s="7"/>
      <c r="E20" s="7"/>
      <c r="F20" s="7"/>
      <c r="G20" s="7"/>
      <c r="H20" s="7"/>
      <c r="I20" s="7"/>
      <c r="L20" s="6"/>
      <c r="M20" s="8" t="s">
        <v>58</v>
      </c>
      <c r="N20" s="20">
        <v>0.18954609334468842</v>
      </c>
    </row>
    <row r="21" spans="1:14" ht="14.45" customHeight="1" x14ac:dyDescent="0.3">
      <c r="A21" s="89" t="s">
        <v>76</v>
      </c>
      <c r="B21" s="89"/>
      <c r="C21" s="89"/>
      <c r="D21" s="89"/>
      <c r="E21" s="89"/>
      <c r="F21" s="89"/>
      <c r="G21" s="89"/>
      <c r="H21" s="89"/>
      <c r="I21" s="89"/>
      <c r="L21" s="6"/>
      <c r="M21" s="9" t="s">
        <v>56</v>
      </c>
      <c r="N21" s="19">
        <v>0.18771179020404816</v>
      </c>
    </row>
    <row r="22" spans="1:14" ht="16.5" x14ac:dyDescent="0.3">
      <c r="A22" s="97" t="s">
        <v>112</v>
      </c>
      <c r="B22" s="97"/>
      <c r="C22" s="97"/>
      <c r="D22" s="97"/>
      <c r="E22" s="97"/>
      <c r="F22" s="97"/>
      <c r="G22" s="97"/>
      <c r="H22" s="97"/>
      <c r="I22" s="97"/>
      <c r="J22" s="97"/>
      <c r="L22" s="6"/>
      <c r="M22" s="8" t="s">
        <v>49</v>
      </c>
      <c r="N22" s="20">
        <v>0.18514850735664368</v>
      </c>
    </row>
    <row r="23" spans="1:14" ht="16.5" x14ac:dyDescent="0.3">
      <c r="A23" s="97"/>
      <c r="B23" s="97"/>
      <c r="C23" s="97"/>
      <c r="D23" s="97"/>
      <c r="E23" s="97"/>
      <c r="F23" s="97"/>
      <c r="G23" s="97"/>
      <c r="H23" s="97"/>
      <c r="I23" s="97"/>
      <c r="J23" s="97"/>
      <c r="L23" s="6"/>
      <c r="M23" s="9" t="s">
        <v>51</v>
      </c>
      <c r="N23" s="19">
        <v>0.18173311650753021</v>
      </c>
    </row>
    <row r="24" spans="1:14" ht="16.5" x14ac:dyDescent="0.3">
      <c r="A24" s="97" t="s">
        <v>94</v>
      </c>
      <c r="B24" s="97"/>
      <c r="C24" s="97"/>
      <c r="D24" s="97"/>
      <c r="E24" s="97"/>
      <c r="F24" s="97"/>
      <c r="G24" s="97"/>
      <c r="H24" s="97"/>
      <c r="I24" s="97"/>
      <c r="J24" s="97"/>
      <c r="L24" s="6"/>
      <c r="M24" s="8" t="s">
        <v>46</v>
      </c>
      <c r="N24" s="20">
        <v>0.18140259385108948</v>
      </c>
    </row>
    <row r="25" spans="1:14" ht="16.5" x14ac:dyDescent="0.3">
      <c r="A25" s="97"/>
      <c r="B25" s="97"/>
      <c r="C25" s="97"/>
      <c r="D25" s="97"/>
      <c r="E25" s="97"/>
      <c r="F25" s="97"/>
      <c r="G25" s="97"/>
      <c r="H25" s="97"/>
      <c r="I25" s="97"/>
      <c r="J25" s="97"/>
      <c r="L25" s="6"/>
      <c r="M25" s="9" t="s">
        <v>54</v>
      </c>
      <c r="N25" s="19">
        <v>0.18102875351905823</v>
      </c>
    </row>
    <row r="26" spans="1:14" ht="16.5" x14ac:dyDescent="0.3">
      <c r="A26" s="16"/>
      <c r="B26" s="16"/>
      <c r="C26" s="16"/>
      <c r="D26" s="16"/>
      <c r="E26" s="16"/>
      <c r="F26" s="16"/>
      <c r="G26" s="16"/>
      <c r="H26" s="16"/>
      <c r="I26" s="16"/>
      <c r="J26" s="16"/>
      <c r="L26" s="6"/>
      <c r="M26" s="8" t="s">
        <v>45</v>
      </c>
      <c r="N26" s="20">
        <v>0.17598719894886017</v>
      </c>
    </row>
    <row r="27" spans="1:14" ht="16.5" x14ac:dyDescent="0.3">
      <c r="A27" s="78" t="s">
        <v>84</v>
      </c>
      <c r="B27" s="79"/>
      <c r="C27" s="79"/>
      <c r="D27" s="79"/>
      <c r="E27" s="79"/>
      <c r="F27" s="79"/>
      <c r="G27" s="79"/>
      <c r="H27" s="79"/>
      <c r="I27" s="79"/>
      <c r="J27" s="79"/>
      <c r="L27" s="6"/>
      <c r="M27" s="9" t="s">
        <v>59</v>
      </c>
      <c r="N27" s="19">
        <v>0.16341221332550049</v>
      </c>
    </row>
    <row r="28" spans="1:14" ht="16.5" x14ac:dyDescent="0.3">
      <c r="L28" s="6"/>
      <c r="M28" s="8" t="s">
        <v>61</v>
      </c>
      <c r="N28" s="20">
        <v>0.14555375277996063</v>
      </c>
    </row>
    <row r="29" spans="1:14" ht="16.5" x14ac:dyDescent="0.3">
      <c r="A29" s="81" t="s">
        <v>101</v>
      </c>
      <c r="L29" s="6"/>
      <c r="M29" s="9" t="s">
        <v>57</v>
      </c>
      <c r="N29" s="19">
        <v>0.12871980667114258</v>
      </c>
    </row>
    <row r="30" spans="1:14" ht="16.5" x14ac:dyDescent="0.3">
      <c r="L30" s="6"/>
      <c r="M30" s="11" t="s">
        <v>47</v>
      </c>
      <c r="N30" s="21">
        <v>9.126349538564682E-2</v>
      </c>
    </row>
  </sheetData>
  <sortState xmlns:xlrd2="http://schemas.microsoft.com/office/spreadsheetml/2017/richdata2" ref="M3:N30">
    <sortCondition descending="1" ref="N3:N30"/>
  </sortState>
  <mergeCells count="5">
    <mergeCell ref="N1:N2"/>
    <mergeCell ref="A24:J25"/>
    <mergeCell ref="A3:J5"/>
    <mergeCell ref="A1:J2"/>
    <mergeCell ref="A22:J23"/>
  </mergeCells>
  <hyperlinks>
    <hyperlink ref="A27" r:id="rId1" xr:uid="{C2B12ECE-B409-4581-8E83-B516B69BE7A2}"/>
  </hyperlinks>
  <pageMargins left="0.7" right="0.7" top="0.75" bottom="0.75" header="0.3" footer="0.3"/>
  <pageSetup paperSize="9" orientation="portrait" r:id="rId2"/>
  <headerFooter>
    <oddFooter>&amp;C_x000D_&amp;1#&amp;"Calibri"&amp;10&amp;K0000FF Restricted Use - À usage restreint</odd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5DDC6-1128-4C10-A571-34F47B3BA286}">
  <dimension ref="A1:EG31"/>
  <sheetViews>
    <sheetView zoomScaleNormal="100" workbookViewId="0">
      <selection sqref="A1:I2"/>
    </sheetView>
  </sheetViews>
  <sheetFormatPr defaultRowHeight="15" x14ac:dyDescent="0.25"/>
  <cols>
    <col min="1" max="8" width="8.7109375" style="5"/>
    <col min="9" max="9" width="19.140625" style="5" customWidth="1"/>
    <col min="10" max="10" width="11.5703125" style="5" customWidth="1"/>
    <col min="11" max="11" width="13.140625" style="5" customWidth="1"/>
    <col min="12" max="12" width="23.5703125" style="5" customWidth="1"/>
    <col min="13" max="13" width="20.5703125" style="5" customWidth="1"/>
    <col min="14" max="137" width="8.7109375" style="5"/>
  </cols>
  <sheetData>
    <row r="1" spans="1:14" ht="20.100000000000001" customHeight="1" x14ac:dyDescent="0.3">
      <c r="A1" s="99" t="s">
        <v>115</v>
      </c>
      <c r="B1" s="99"/>
      <c r="C1" s="99"/>
      <c r="D1" s="99"/>
      <c r="E1" s="99"/>
      <c r="F1" s="99"/>
      <c r="G1" s="99"/>
      <c r="H1" s="99"/>
      <c r="I1" s="99"/>
      <c r="J1" s="14"/>
      <c r="K1" s="10"/>
      <c r="L1" s="95" t="s">
        <v>91</v>
      </c>
      <c r="M1" s="95"/>
    </row>
    <row r="2" spans="1:14" ht="14.45" customHeight="1" x14ac:dyDescent="0.3">
      <c r="A2" s="99"/>
      <c r="B2" s="99"/>
      <c r="C2" s="99"/>
      <c r="D2" s="99"/>
      <c r="E2" s="99"/>
      <c r="F2" s="99"/>
      <c r="G2" s="99"/>
      <c r="H2" s="99"/>
      <c r="I2" s="99"/>
      <c r="J2" s="14"/>
      <c r="K2" s="11"/>
      <c r="L2" s="18" t="s">
        <v>69</v>
      </c>
      <c r="M2" s="18" t="s">
        <v>70</v>
      </c>
    </row>
    <row r="3" spans="1:14" ht="13.5" customHeight="1" x14ac:dyDescent="0.3">
      <c r="A3" s="98" t="s">
        <v>113</v>
      </c>
      <c r="B3" s="98"/>
      <c r="C3" s="98"/>
      <c r="D3" s="98"/>
      <c r="E3" s="98"/>
      <c r="F3" s="98"/>
      <c r="G3" s="98"/>
      <c r="H3" s="98"/>
      <c r="I3" s="98"/>
      <c r="J3" s="12"/>
      <c r="K3" s="9" t="s">
        <v>41</v>
      </c>
      <c r="L3" s="19">
        <v>0.44877895712852478</v>
      </c>
      <c r="M3" s="19">
        <v>0.22831934690475464</v>
      </c>
      <c r="N3" s="65"/>
    </row>
    <row r="4" spans="1:14" ht="16.5" x14ac:dyDescent="0.3">
      <c r="A4" s="98"/>
      <c r="B4" s="98"/>
      <c r="C4" s="98"/>
      <c r="D4" s="98"/>
      <c r="E4" s="98"/>
      <c r="F4" s="98"/>
      <c r="G4" s="98"/>
      <c r="H4" s="98"/>
      <c r="I4" s="98"/>
      <c r="J4" s="12"/>
      <c r="K4" s="8" t="s">
        <v>55</v>
      </c>
      <c r="L4" s="20">
        <v>0.42650267481803894</v>
      </c>
      <c r="M4" s="20">
        <v>0.25399482250213623</v>
      </c>
      <c r="N4" s="65"/>
    </row>
    <row r="5" spans="1:14" ht="16.5" x14ac:dyDescent="0.3">
      <c r="A5" s="98"/>
      <c r="B5" s="98"/>
      <c r="C5" s="98"/>
      <c r="D5" s="98"/>
      <c r="E5" s="98"/>
      <c r="F5" s="98"/>
      <c r="G5" s="98"/>
      <c r="H5" s="98"/>
      <c r="I5" s="98"/>
      <c r="K5" s="9" t="s">
        <v>37</v>
      </c>
      <c r="L5" s="19">
        <v>0.38182559609413147</v>
      </c>
      <c r="M5" s="19">
        <v>0.21804840862751007</v>
      </c>
      <c r="N5" s="65"/>
    </row>
    <row r="6" spans="1:14" ht="16.5" x14ac:dyDescent="0.3">
      <c r="A6" s="7"/>
      <c r="B6" s="7"/>
      <c r="C6" s="7"/>
      <c r="D6" s="7"/>
      <c r="E6" s="7"/>
      <c r="F6" s="7"/>
      <c r="G6" s="7"/>
      <c r="H6" s="7"/>
      <c r="I6" s="7"/>
      <c r="J6" s="7"/>
      <c r="K6" s="17" t="s">
        <v>62</v>
      </c>
      <c r="L6" s="36">
        <v>0.3791382908821106</v>
      </c>
      <c r="M6" s="36">
        <v>0.2311946302652359</v>
      </c>
      <c r="N6" s="65"/>
    </row>
    <row r="7" spans="1:14" ht="16.5" x14ac:dyDescent="0.3">
      <c r="A7" s="7"/>
      <c r="B7" s="7"/>
      <c r="C7" s="7"/>
      <c r="D7" s="7"/>
      <c r="E7" s="7"/>
      <c r="F7" s="7"/>
      <c r="G7" s="7"/>
      <c r="H7" s="7"/>
      <c r="I7" s="7"/>
      <c r="J7" s="7"/>
      <c r="K7" s="9" t="s">
        <v>52</v>
      </c>
      <c r="L7" s="19">
        <v>0.36776450276374817</v>
      </c>
      <c r="M7" s="19">
        <v>0.26190492510795593</v>
      </c>
      <c r="N7" s="65"/>
    </row>
    <row r="8" spans="1:14" ht="16.5" x14ac:dyDescent="0.3">
      <c r="A8" s="7"/>
      <c r="B8" s="7"/>
      <c r="C8" s="7"/>
      <c r="D8" s="7"/>
      <c r="E8" s="7"/>
      <c r="F8" s="7"/>
      <c r="G8" s="7"/>
      <c r="H8" s="7"/>
      <c r="I8" s="7"/>
      <c r="J8" s="7"/>
      <c r="K8" s="17" t="s">
        <v>39</v>
      </c>
      <c r="L8" s="36">
        <v>0.36088952422142029</v>
      </c>
      <c r="M8" s="36">
        <v>0.30713281035423279</v>
      </c>
      <c r="N8" s="65"/>
    </row>
    <row r="9" spans="1:14" ht="16.5" x14ac:dyDescent="0.3">
      <c r="A9" s="7"/>
      <c r="B9" s="7"/>
      <c r="C9" s="7"/>
      <c r="D9" s="7"/>
      <c r="E9" s="7"/>
      <c r="F9" s="7"/>
      <c r="G9" s="7"/>
      <c r="H9" s="7"/>
      <c r="I9" s="7"/>
      <c r="J9" s="7"/>
      <c r="K9" s="9" t="s">
        <v>40</v>
      </c>
      <c r="L9" s="19">
        <v>0.34168317914009094</v>
      </c>
      <c r="M9" s="19">
        <v>0.20692917704582214</v>
      </c>
      <c r="N9" s="65"/>
    </row>
    <row r="10" spans="1:14" ht="16.5" x14ac:dyDescent="0.3">
      <c r="A10" s="7"/>
      <c r="B10" s="7"/>
      <c r="C10" s="7"/>
      <c r="D10" s="7"/>
      <c r="E10" s="7"/>
      <c r="F10" s="7"/>
      <c r="G10" s="7"/>
      <c r="H10" s="7"/>
      <c r="I10" s="7"/>
      <c r="J10" s="7"/>
      <c r="K10" s="17" t="s">
        <v>44</v>
      </c>
      <c r="L10" s="36">
        <v>0.3414798378944397</v>
      </c>
      <c r="M10" s="36">
        <v>0.2368481308221817</v>
      </c>
      <c r="N10" s="65"/>
    </row>
    <row r="11" spans="1:14" ht="16.5" x14ac:dyDescent="0.3">
      <c r="A11" s="7"/>
      <c r="B11" s="7"/>
      <c r="C11" s="7"/>
      <c r="D11" s="7"/>
      <c r="E11" s="7"/>
      <c r="F11" s="7"/>
      <c r="G11" s="7"/>
      <c r="H11" s="7"/>
      <c r="I11" s="7"/>
      <c r="J11" s="7"/>
      <c r="K11" s="9" t="s">
        <v>43</v>
      </c>
      <c r="L11" s="19">
        <v>0.33351600170135498</v>
      </c>
      <c r="M11" s="19">
        <v>0.17950442433357239</v>
      </c>
      <c r="N11" s="65"/>
    </row>
    <row r="12" spans="1:14" ht="16.5" x14ac:dyDescent="0.3">
      <c r="A12" s="7"/>
      <c r="B12" s="7"/>
      <c r="C12" s="7"/>
      <c r="D12" s="7"/>
      <c r="E12" s="7"/>
      <c r="F12" s="7"/>
      <c r="G12" s="7"/>
      <c r="H12" s="7"/>
      <c r="I12" s="7"/>
      <c r="J12" s="7"/>
      <c r="K12" s="17" t="s">
        <v>45</v>
      </c>
      <c r="L12" s="36">
        <v>0.33003246784210205</v>
      </c>
      <c r="M12" s="36">
        <v>0.1209842711687088</v>
      </c>
      <c r="N12" s="74"/>
    </row>
    <row r="13" spans="1:14" ht="16.5" x14ac:dyDescent="0.3">
      <c r="A13" s="7"/>
      <c r="B13" s="7"/>
      <c r="C13" s="7"/>
      <c r="D13" s="7"/>
      <c r="E13" s="7"/>
      <c r="F13" s="7"/>
      <c r="G13" s="7"/>
      <c r="H13" s="7"/>
      <c r="I13" s="7"/>
      <c r="J13" s="7"/>
      <c r="K13" s="9" t="s">
        <v>60</v>
      </c>
      <c r="L13" s="19">
        <v>0.32639825344085693</v>
      </c>
      <c r="M13" s="19">
        <v>0.2190956175327301</v>
      </c>
      <c r="N13" s="74"/>
    </row>
    <row r="14" spans="1:14" ht="16.5" x14ac:dyDescent="0.3">
      <c r="A14" s="7"/>
      <c r="B14" s="7"/>
      <c r="C14" s="7"/>
      <c r="D14" s="7"/>
      <c r="E14" s="7"/>
      <c r="F14" s="7"/>
      <c r="G14" s="7"/>
      <c r="H14" s="7"/>
      <c r="I14" s="7"/>
      <c r="J14" s="7"/>
      <c r="K14" s="17" t="s">
        <v>38</v>
      </c>
      <c r="L14" s="36">
        <v>0.31769493222236633</v>
      </c>
      <c r="M14" s="36">
        <v>0.25183248519897461</v>
      </c>
      <c r="N14" s="74"/>
    </row>
    <row r="15" spans="1:14" ht="16.5" x14ac:dyDescent="0.3">
      <c r="A15" s="7"/>
      <c r="B15" s="7"/>
      <c r="C15" s="7"/>
      <c r="D15" s="7"/>
      <c r="E15" s="7"/>
      <c r="F15" s="7"/>
      <c r="G15" s="7"/>
      <c r="H15" s="7"/>
      <c r="I15" s="7"/>
      <c r="J15" s="7"/>
      <c r="K15" s="9" t="s">
        <v>53</v>
      </c>
      <c r="L15" s="19">
        <v>0.31516817212104797</v>
      </c>
      <c r="M15" s="19">
        <v>0.22423103451728821</v>
      </c>
      <c r="N15" s="74"/>
    </row>
    <row r="16" spans="1:14" ht="16.5" x14ac:dyDescent="0.3">
      <c r="A16" s="7"/>
      <c r="B16" s="7"/>
      <c r="C16" s="7"/>
      <c r="D16" s="7"/>
      <c r="E16" s="7"/>
      <c r="F16" s="7"/>
      <c r="G16" s="7"/>
      <c r="H16" s="7"/>
      <c r="I16" s="7"/>
      <c r="J16" s="7"/>
      <c r="K16" s="72" t="s">
        <v>65</v>
      </c>
      <c r="L16" s="73">
        <v>0.2880899414972023</v>
      </c>
      <c r="M16" s="73">
        <v>0.18591811121613891</v>
      </c>
      <c r="N16" s="74"/>
    </row>
    <row r="17" spans="1:14" ht="16.5" x14ac:dyDescent="0.3">
      <c r="A17" s="7"/>
      <c r="B17" s="7"/>
      <c r="C17" s="7"/>
      <c r="D17" s="7"/>
      <c r="E17" s="7"/>
      <c r="F17" s="7"/>
      <c r="G17" s="7"/>
      <c r="H17" s="7"/>
      <c r="I17" s="7"/>
      <c r="J17" s="7"/>
      <c r="K17" s="9" t="s">
        <v>63</v>
      </c>
      <c r="L17" s="19">
        <v>0.27514496445655823</v>
      </c>
      <c r="M17" s="19">
        <v>0.20150367915630341</v>
      </c>
      <c r="N17" s="74"/>
    </row>
    <row r="18" spans="1:14" ht="16.5" x14ac:dyDescent="0.3">
      <c r="A18" s="7"/>
      <c r="B18" s="7"/>
      <c r="C18" s="7"/>
      <c r="D18" s="7"/>
      <c r="E18" s="7"/>
      <c r="F18" s="7"/>
      <c r="G18" s="7"/>
      <c r="H18" s="7"/>
      <c r="I18" s="7"/>
      <c r="J18" s="7"/>
      <c r="K18" s="17" t="s">
        <v>50</v>
      </c>
      <c r="L18" s="36">
        <v>0.2665693461894989</v>
      </c>
      <c r="M18" s="36">
        <v>0.18381376564502716</v>
      </c>
      <c r="N18" s="74"/>
    </row>
    <row r="19" spans="1:14" ht="16.5" x14ac:dyDescent="0.3">
      <c r="A19" s="7"/>
      <c r="B19" s="7"/>
      <c r="C19" s="7"/>
      <c r="D19" s="7"/>
      <c r="E19" s="7"/>
      <c r="F19" s="7"/>
      <c r="G19" s="7"/>
      <c r="H19" s="7"/>
      <c r="I19" s="7"/>
      <c r="J19" s="7"/>
      <c r="K19" s="9" t="s">
        <v>48</v>
      </c>
      <c r="L19" s="19">
        <v>0.26006364822387695</v>
      </c>
      <c r="M19" s="19">
        <v>0.17431299388408661</v>
      </c>
      <c r="N19" s="74"/>
    </row>
    <row r="20" spans="1:14" ht="16.5" x14ac:dyDescent="0.3">
      <c r="B20" s="7"/>
      <c r="C20" s="7"/>
      <c r="D20" s="7"/>
      <c r="E20" s="7"/>
      <c r="F20" s="7"/>
      <c r="G20" s="7"/>
      <c r="H20" s="7"/>
      <c r="I20" s="7"/>
      <c r="K20" s="17" t="s">
        <v>59</v>
      </c>
      <c r="L20" s="36">
        <v>0.24692142009735107</v>
      </c>
      <c r="M20" s="36">
        <v>9.7531415522098541E-2</v>
      </c>
      <c r="N20" s="74"/>
    </row>
    <row r="21" spans="1:14" ht="14.45" customHeight="1" x14ac:dyDescent="0.3">
      <c r="A21" s="89" t="s">
        <v>76</v>
      </c>
      <c r="B21" s="89"/>
      <c r="C21" s="89"/>
      <c r="D21" s="89"/>
      <c r="E21" s="89"/>
      <c r="F21" s="89"/>
      <c r="G21" s="89"/>
      <c r="H21" s="89"/>
      <c r="I21" s="89"/>
      <c r="K21" s="9" t="s">
        <v>58</v>
      </c>
      <c r="L21" s="19">
        <v>0.23988255858421326</v>
      </c>
      <c r="M21" s="19">
        <v>0.18969860672950745</v>
      </c>
      <c r="N21" s="74"/>
    </row>
    <row r="22" spans="1:14" ht="16.5" customHeight="1" x14ac:dyDescent="0.3">
      <c r="A22" s="97" t="s">
        <v>112</v>
      </c>
      <c r="B22" s="97"/>
      <c r="C22" s="97"/>
      <c r="D22" s="97"/>
      <c r="E22" s="97"/>
      <c r="F22" s="97"/>
      <c r="G22" s="97"/>
      <c r="H22" s="97"/>
      <c r="I22" s="97"/>
      <c r="J22" s="90"/>
      <c r="K22" s="17" t="s">
        <v>56</v>
      </c>
      <c r="L22" s="36">
        <v>0.22356104850769043</v>
      </c>
      <c r="M22" s="36">
        <v>0.17309877276420593</v>
      </c>
      <c r="N22" s="74"/>
    </row>
    <row r="23" spans="1:14" ht="16.5" x14ac:dyDescent="0.3">
      <c r="A23" s="97"/>
      <c r="B23" s="97"/>
      <c r="C23" s="97"/>
      <c r="D23" s="97"/>
      <c r="E23" s="97"/>
      <c r="F23" s="97"/>
      <c r="G23" s="97"/>
      <c r="H23" s="97"/>
      <c r="I23" s="97"/>
      <c r="J23" s="90"/>
      <c r="K23" s="9" t="s">
        <v>42</v>
      </c>
      <c r="L23" s="19">
        <v>0.21978080272674561</v>
      </c>
      <c r="M23" s="19">
        <v>0.1921430230140686</v>
      </c>
      <c r="N23" s="74"/>
    </row>
    <row r="24" spans="1:14" ht="16.5" x14ac:dyDescent="0.3">
      <c r="A24" s="97" t="s">
        <v>94</v>
      </c>
      <c r="B24" s="97"/>
      <c r="C24" s="97"/>
      <c r="D24" s="97"/>
      <c r="E24" s="97"/>
      <c r="F24" s="97"/>
      <c r="G24" s="97"/>
      <c r="H24" s="97"/>
      <c r="I24" s="97"/>
      <c r="K24" s="17" t="s">
        <v>49</v>
      </c>
      <c r="L24" s="36">
        <v>0.21949991583824158</v>
      </c>
      <c r="M24" s="36">
        <v>0.14592164754867554</v>
      </c>
      <c r="N24" s="74"/>
    </row>
    <row r="25" spans="1:14" ht="16.5" customHeight="1" x14ac:dyDescent="0.3">
      <c r="A25" s="97"/>
      <c r="B25" s="97"/>
      <c r="C25" s="97"/>
      <c r="D25" s="97"/>
      <c r="E25" s="97"/>
      <c r="F25" s="97"/>
      <c r="G25" s="97"/>
      <c r="H25" s="97"/>
      <c r="I25" s="97"/>
      <c r="J25" s="90"/>
      <c r="K25" s="9" t="s">
        <v>51</v>
      </c>
      <c r="L25" s="19">
        <v>0.21079516410827637</v>
      </c>
      <c r="M25" s="19">
        <v>0.12682408094406128</v>
      </c>
      <c r="N25" s="74"/>
    </row>
    <row r="26" spans="1:14" ht="16.5" x14ac:dyDescent="0.3">
      <c r="A26" s="97"/>
      <c r="B26" s="97"/>
      <c r="C26" s="97"/>
      <c r="D26" s="97"/>
      <c r="E26" s="97"/>
      <c r="F26" s="97"/>
      <c r="G26" s="97"/>
      <c r="H26" s="97"/>
      <c r="I26" s="97"/>
      <c r="J26" s="90"/>
      <c r="K26" s="17" t="s">
        <v>61</v>
      </c>
      <c r="L26" s="36">
        <v>0.2090536504983902</v>
      </c>
      <c r="M26" s="36">
        <v>0.11094490438699722</v>
      </c>
      <c r="N26" s="74"/>
    </row>
    <row r="27" spans="1:14" ht="16.5" x14ac:dyDescent="0.3">
      <c r="B27" s="79"/>
      <c r="C27" s="79"/>
      <c r="D27" s="79"/>
      <c r="E27" s="79"/>
      <c r="F27" s="79"/>
      <c r="G27" s="79"/>
      <c r="H27" s="79"/>
      <c r="I27" s="79"/>
      <c r="J27" s="16"/>
      <c r="K27" s="9" t="s">
        <v>46</v>
      </c>
      <c r="L27" s="19">
        <v>0.20842544734477997</v>
      </c>
      <c r="M27" s="19">
        <v>0.13722121715545654</v>
      </c>
      <c r="N27" s="74"/>
    </row>
    <row r="28" spans="1:14" ht="16.5" x14ac:dyDescent="0.3">
      <c r="A28" s="78" t="s">
        <v>84</v>
      </c>
      <c r="J28" s="79"/>
      <c r="K28" s="17" t="s">
        <v>54</v>
      </c>
      <c r="L28" s="36">
        <v>0.19897976517677307</v>
      </c>
      <c r="M28" s="36">
        <v>0.1696975976228714</v>
      </c>
      <c r="N28" s="74"/>
    </row>
    <row r="29" spans="1:14" ht="16.5" x14ac:dyDescent="0.3">
      <c r="K29" s="9" t="s">
        <v>57</v>
      </c>
      <c r="L29" s="19">
        <v>0.19517980515956879</v>
      </c>
      <c r="M29" s="19">
        <v>9.7398273646831512E-2</v>
      </c>
      <c r="N29" s="74"/>
    </row>
    <row r="30" spans="1:14" ht="16.5" x14ac:dyDescent="0.3">
      <c r="A30" s="110" t="s">
        <v>101</v>
      </c>
      <c r="B30" s="110"/>
      <c r="C30" s="110"/>
      <c r="D30" s="110"/>
      <c r="E30" s="110"/>
      <c r="F30" s="110"/>
      <c r="G30" s="110"/>
      <c r="H30" s="110"/>
      <c r="I30" s="110"/>
      <c r="K30" s="11" t="s">
        <v>47</v>
      </c>
      <c r="L30" s="21">
        <v>0.13369849324226379</v>
      </c>
      <c r="M30" s="21">
        <v>7.9658940434455872E-2</v>
      </c>
      <c r="N30" s="65"/>
    </row>
    <row r="31" spans="1:14" x14ac:dyDescent="0.25">
      <c r="A31" s="110"/>
      <c r="B31" s="110"/>
      <c r="C31" s="110"/>
      <c r="D31" s="110"/>
      <c r="E31" s="110"/>
      <c r="F31" s="110"/>
      <c r="G31" s="110"/>
      <c r="H31" s="110"/>
      <c r="I31" s="110"/>
    </row>
  </sheetData>
  <sortState xmlns:xlrd2="http://schemas.microsoft.com/office/spreadsheetml/2017/richdata2" ref="K3:M30">
    <sortCondition descending="1" ref="L3:L30"/>
  </sortState>
  <mergeCells count="6">
    <mergeCell ref="A30:I31"/>
    <mergeCell ref="A22:I23"/>
    <mergeCell ref="A1:I2"/>
    <mergeCell ref="A3:I5"/>
    <mergeCell ref="L1:M1"/>
    <mergeCell ref="A24:I26"/>
  </mergeCells>
  <hyperlinks>
    <hyperlink ref="A28" r:id="rId1" xr:uid="{5CF08A48-1581-415C-A71A-E159EA34C925}"/>
  </hyperlinks>
  <pageMargins left="0.7" right="0.7" top="0.75" bottom="0.75" header="0.3" footer="0.3"/>
  <pageSetup paperSize="9" orientation="portrait"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AD3C4-4091-4B01-8977-51863A4B7A7D}">
  <sheetPr>
    <tabColor rgb="FF00B050"/>
  </sheetPr>
  <dimension ref="A1:N447"/>
  <sheetViews>
    <sheetView zoomScaleNormal="100" workbookViewId="0">
      <selection activeCell="N2" sqref="N2"/>
    </sheetView>
  </sheetViews>
  <sheetFormatPr defaultColWidth="8.7109375" defaultRowHeight="15" x14ac:dyDescent="0.25"/>
  <cols>
    <col min="1" max="16384" width="8.7109375" style="1"/>
  </cols>
  <sheetData>
    <row r="1" spans="1:14" x14ac:dyDescent="0.25">
      <c r="B1" s="1" t="s">
        <v>0</v>
      </c>
      <c r="C1" s="1" t="s">
        <v>30</v>
      </c>
      <c r="D1" s="1" t="s">
        <v>1</v>
      </c>
      <c r="E1" s="1" t="s">
        <v>2</v>
      </c>
      <c r="G1" s="1" t="s">
        <v>0</v>
      </c>
      <c r="H1" s="1" t="s">
        <v>31</v>
      </c>
      <c r="I1" s="1" t="s">
        <v>32</v>
      </c>
      <c r="J1" s="1" t="s">
        <v>33</v>
      </c>
      <c r="K1" s="1" t="s">
        <v>34</v>
      </c>
      <c r="L1" s="1" t="s">
        <v>35</v>
      </c>
      <c r="M1" s="1" t="s">
        <v>36</v>
      </c>
    </row>
    <row r="2" spans="1:14" x14ac:dyDescent="0.25">
      <c r="A2" s="1" t="str">
        <f>B2&amp;C2</f>
        <v>AUT18-24</v>
      </c>
      <c r="B2" s="1" t="s">
        <v>3</v>
      </c>
      <c r="C2" s="1" t="s">
        <v>31</v>
      </c>
      <c r="D2" s="2">
        <v>124</v>
      </c>
      <c r="E2" s="2">
        <v>0.68526846170425415</v>
      </c>
      <c r="F2" s="1">
        <f>AVERAGE(H2:H28)</f>
        <v>0.71028118773742954</v>
      </c>
      <c r="G2" s="1" t="s">
        <v>6</v>
      </c>
      <c r="H2" s="1">
        <f t="shared" ref="H2:L3" si="0">INDEX($B$2:$E$78,MATCH($G2&amp;H$1,$A$2:$A$78,0),4)</f>
        <v>0.94856500625610352</v>
      </c>
      <c r="I2" s="1">
        <f t="shared" si="0"/>
        <v>0.89360582828521729</v>
      </c>
      <c r="J2" s="1">
        <f t="shared" si="0"/>
        <v>0.75865018367767334</v>
      </c>
      <c r="K2" s="1">
        <f t="shared" si="0"/>
        <v>0.71073514223098755</v>
      </c>
      <c r="L2" s="1">
        <f t="shared" si="0"/>
        <v>0.67738509178161621</v>
      </c>
      <c r="M2" s="3">
        <v>0.77407181262969971</v>
      </c>
      <c r="N2" s="4">
        <f>AVERAGE(M2:M28)</f>
        <v>0.55715528461668229</v>
      </c>
    </row>
    <row r="3" spans="1:14" x14ac:dyDescent="0.25">
      <c r="A3" s="1" t="str">
        <f t="shared" ref="A3:A66" si="1">B3&amp;C3</f>
        <v>AUT25-34</v>
      </c>
      <c r="B3" s="1" t="s">
        <v>3</v>
      </c>
      <c r="C3" s="1" t="s">
        <v>32</v>
      </c>
      <c r="D3" s="2">
        <v>242</v>
      </c>
      <c r="E3" s="2">
        <v>0.61306083202362061</v>
      </c>
      <c r="G3" s="1" t="s">
        <v>4</v>
      </c>
      <c r="H3" s="1">
        <f t="shared" si="0"/>
        <v>0.89870727062225342</v>
      </c>
      <c r="I3" s="1">
        <f t="shared" si="0"/>
        <v>0.86745423078536987</v>
      </c>
      <c r="J3" s="1">
        <f t="shared" si="0"/>
        <v>0.79038935899734497</v>
      </c>
      <c r="K3" s="1">
        <f t="shared" si="0"/>
        <v>0.77778685092926025</v>
      </c>
      <c r="L3" s="1">
        <f t="shared" si="0"/>
        <v>0.63955396413803101</v>
      </c>
      <c r="M3" s="3">
        <v>0.79822224378585815</v>
      </c>
    </row>
    <row r="4" spans="1:14" x14ac:dyDescent="0.25">
      <c r="A4" s="1" t="str">
        <f t="shared" si="1"/>
        <v>AUT35-44</v>
      </c>
      <c r="B4" s="1" t="s">
        <v>3</v>
      </c>
      <c r="C4" s="1" t="s">
        <v>33</v>
      </c>
      <c r="D4" s="2">
        <v>208</v>
      </c>
      <c r="E4" s="2">
        <v>0.48021915555000305</v>
      </c>
      <c r="G4" s="1" t="s">
        <v>8</v>
      </c>
      <c r="H4" s="1">
        <f>INDEX($B$2:$E$136,MATCH($G4&amp;H$1,$A$2:$A$136,0),4)</f>
        <v>0.88560003042221069</v>
      </c>
      <c r="I4" s="1">
        <f>INDEX($B$2:$E$136,MATCH($G4&amp;I$1,$A$2:$A$136,0),4)</f>
        <v>0.83292454481124878</v>
      </c>
      <c r="J4" s="1">
        <f>INDEX($B$2:$E$136,MATCH($G4&amp;J$1,$A$2:$A$136,0),4)</f>
        <v>0.74081456661224365</v>
      </c>
      <c r="K4" s="1">
        <f>INDEX($B$2:$E$136,MATCH($G4&amp;K$1,$A$2:$A$136,0),4)</f>
        <v>0.7296372652053833</v>
      </c>
      <c r="L4" s="1">
        <f>INDEX($B$2:$E$136,MATCH($G4&amp;L$1,$A$2:$A$136,0),4)</f>
        <v>0.61846065521240234</v>
      </c>
      <c r="M4" s="3">
        <v>0.77397686243057251</v>
      </c>
    </row>
    <row r="5" spans="1:14" x14ac:dyDescent="0.25">
      <c r="A5" s="1" t="str">
        <f t="shared" si="1"/>
        <v>AUT45-54</v>
      </c>
      <c r="B5" s="1" t="s">
        <v>3</v>
      </c>
      <c r="C5" s="1" t="s">
        <v>34</v>
      </c>
      <c r="D5" s="2">
        <v>211</v>
      </c>
      <c r="E5" s="2">
        <v>0.45727387070655823</v>
      </c>
      <c r="G5" s="1" t="s">
        <v>24</v>
      </c>
      <c r="H5" s="1">
        <f>INDEX($B$2:$E$78,MATCH($G5&amp;H$1,$A$2:$A$78,0),4)</f>
        <v>0.84309238195419312</v>
      </c>
      <c r="I5" s="1">
        <f>INDEX($B$2:$E$78,MATCH($G5&amp;I$1,$A$2:$A$78,0),4)</f>
        <v>0.5484309196472168</v>
      </c>
      <c r="J5" s="1">
        <f>INDEX($B$2:$E$78,MATCH($G5&amp;J$1,$A$2:$A$78,0),4)</f>
        <v>0.36441344022750854</v>
      </c>
      <c r="K5" s="1">
        <f>INDEX($B$2:$E$78,MATCH($G5&amp;K$1,$A$2:$A$78,0),4)</f>
        <v>0.30754962563514709</v>
      </c>
      <c r="L5" s="1">
        <f>INDEX($B$2:$E$78,MATCH($G5&amp;L$1,$A$2:$A$78,0),4)</f>
        <v>0.20071084797382355</v>
      </c>
      <c r="M5" s="3">
        <v>0.42679482698440552</v>
      </c>
    </row>
    <row r="6" spans="1:14" x14ac:dyDescent="0.25">
      <c r="A6" s="1" t="str">
        <f t="shared" si="1"/>
        <v>AUT55-64</v>
      </c>
      <c r="B6" s="1" t="s">
        <v>3</v>
      </c>
      <c r="C6" s="1" t="s">
        <v>35</v>
      </c>
      <c r="D6" s="2">
        <v>241</v>
      </c>
      <c r="E6" s="2">
        <v>0.43462446331977844</v>
      </c>
      <c r="G6" s="1" t="s">
        <v>13</v>
      </c>
      <c r="H6" s="1">
        <f t="shared" ref="H6:L7" si="2">INDEX($B$2:$E$136,MATCH($G6&amp;H$1,$A$2:$A$136,0),4)</f>
        <v>0.82782328128814697</v>
      </c>
      <c r="I6" s="1">
        <f t="shared" si="2"/>
        <v>0.77618759870529175</v>
      </c>
      <c r="J6" s="1">
        <f t="shared" si="2"/>
        <v>0.71319490671157837</v>
      </c>
      <c r="K6" s="1">
        <f t="shared" si="2"/>
        <v>0.66558998823165894</v>
      </c>
      <c r="L6" s="1">
        <f t="shared" si="2"/>
        <v>0.48718124628067017</v>
      </c>
      <c r="M6" s="3">
        <v>0.43646425008773804</v>
      </c>
    </row>
    <row r="7" spans="1:14" x14ac:dyDescent="0.25">
      <c r="A7" s="1" t="str">
        <f t="shared" si="1"/>
        <v>BEL18-24</v>
      </c>
      <c r="B7" s="1" t="s">
        <v>5</v>
      </c>
      <c r="C7" s="1" t="s">
        <v>31</v>
      </c>
      <c r="D7" s="2">
        <v>149</v>
      </c>
      <c r="E7" s="2">
        <v>0.72924673557281494</v>
      </c>
      <c r="G7" s="1" t="s">
        <v>13</v>
      </c>
      <c r="H7" s="1">
        <f t="shared" si="2"/>
        <v>0.82782328128814697</v>
      </c>
      <c r="I7" s="1">
        <f t="shared" si="2"/>
        <v>0.77618759870529175</v>
      </c>
      <c r="J7" s="1">
        <f t="shared" si="2"/>
        <v>0.71319490671157837</v>
      </c>
      <c r="K7" s="1">
        <f t="shared" si="2"/>
        <v>0.66558998823165894</v>
      </c>
      <c r="L7" s="1">
        <f t="shared" si="2"/>
        <v>0.48718124628067017</v>
      </c>
      <c r="M7" s="3">
        <v>0.67474240064620972</v>
      </c>
    </row>
    <row r="8" spans="1:14" x14ac:dyDescent="0.25">
      <c r="A8" s="1" t="str">
        <f t="shared" si="1"/>
        <v>BEL25-34</v>
      </c>
      <c r="B8" s="1" t="s">
        <v>5</v>
      </c>
      <c r="C8" s="1" t="s">
        <v>32</v>
      </c>
      <c r="D8" s="2">
        <v>240</v>
      </c>
      <c r="E8" s="2">
        <v>0.5015832781791687</v>
      </c>
      <c r="G8" s="1" t="s">
        <v>22</v>
      </c>
      <c r="H8" s="1">
        <f t="shared" ref="H8:L10" si="3">INDEX($B$2:$E$78,MATCH($G8&amp;H$1,$A$2:$A$78,0),4)</f>
        <v>0.80095088481903076</v>
      </c>
      <c r="I8" s="1">
        <f t="shared" si="3"/>
        <v>0.63720625638961792</v>
      </c>
      <c r="J8" s="1">
        <f t="shared" si="3"/>
        <v>0.54392367601394653</v>
      </c>
      <c r="K8" s="1">
        <f t="shared" si="3"/>
        <v>0.43013441562652588</v>
      </c>
      <c r="L8" s="1">
        <f t="shared" si="3"/>
        <v>0.3457486629486084</v>
      </c>
      <c r="M8" s="3">
        <v>0.53350585699081421</v>
      </c>
    </row>
    <row r="9" spans="1:14" x14ac:dyDescent="0.25">
      <c r="A9" s="1" t="str">
        <f t="shared" si="1"/>
        <v>BEL35-44</v>
      </c>
      <c r="B9" s="1" t="s">
        <v>5</v>
      </c>
      <c r="C9" s="1" t="s">
        <v>33</v>
      </c>
      <c r="D9" s="2">
        <v>180</v>
      </c>
      <c r="E9" s="2">
        <v>0.44047930836677551</v>
      </c>
      <c r="G9" s="1" t="s">
        <v>7</v>
      </c>
      <c r="H9" s="1">
        <f t="shared" si="3"/>
        <v>0.79911702871322632</v>
      </c>
      <c r="I9" s="1">
        <f t="shared" si="3"/>
        <v>0.66083431243896484</v>
      </c>
      <c r="J9" s="1">
        <f t="shared" si="3"/>
        <v>0.53972798585891724</v>
      </c>
      <c r="K9" s="1">
        <f t="shared" si="3"/>
        <v>0.39629527926445007</v>
      </c>
      <c r="L9" s="1">
        <f t="shared" si="3"/>
        <v>0.36309510469436646</v>
      </c>
      <c r="M9" s="3">
        <v>0.53405237197875977</v>
      </c>
    </row>
    <row r="10" spans="1:14" x14ac:dyDescent="0.25">
      <c r="A10" s="1" t="str">
        <f t="shared" si="1"/>
        <v>BEL45-54</v>
      </c>
      <c r="B10" s="1" t="s">
        <v>5</v>
      </c>
      <c r="C10" s="1" t="s">
        <v>34</v>
      </c>
      <c r="D10" s="2">
        <v>187</v>
      </c>
      <c r="E10" s="2">
        <v>0.43690907955169678</v>
      </c>
      <c r="G10" s="1" t="s">
        <v>10</v>
      </c>
      <c r="H10" s="1">
        <f t="shared" si="3"/>
        <v>0.78750330209732056</v>
      </c>
      <c r="I10" s="1">
        <f t="shared" si="3"/>
        <v>0.80200701951980591</v>
      </c>
      <c r="J10" s="1">
        <f t="shared" si="3"/>
        <v>0.77573966979980469</v>
      </c>
      <c r="K10" s="1">
        <f t="shared" si="3"/>
        <v>0.75439453125</v>
      </c>
      <c r="L10" s="1">
        <f t="shared" si="3"/>
        <v>0.60927510261535645</v>
      </c>
      <c r="M10" s="3">
        <v>0.73963350057601929</v>
      </c>
    </row>
    <row r="11" spans="1:14" x14ac:dyDescent="0.25">
      <c r="A11" s="1" t="str">
        <f t="shared" si="1"/>
        <v>BEL55-64</v>
      </c>
      <c r="B11" s="1" t="s">
        <v>5</v>
      </c>
      <c r="C11" s="1" t="s">
        <v>35</v>
      </c>
      <c r="D11" s="2">
        <v>245</v>
      </c>
      <c r="E11" s="2">
        <v>0.30787122249603271</v>
      </c>
      <c r="G11" s="1" t="s">
        <v>26</v>
      </c>
      <c r="H11" s="1">
        <f>INDEX($B$2:$E$136,MATCH($G11&amp;H$1,$A$2:$A$136,0),4)</f>
        <v>0.75715947151184082</v>
      </c>
      <c r="I11" s="1">
        <f>INDEX($B$2:$E$136,MATCH($G11&amp;I$1,$A$2:$A$136,0),4)</f>
        <v>0.56718438863754272</v>
      </c>
      <c r="J11" s="1">
        <f>INDEX($B$2:$E$136,MATCH($G11&amp;J$1,$A$2:$A$136,0),4)</f>
        <v>0.45595508813858032</v>
      </c>
      <c r="K11" s="1">
        <f>INDEX($B$2:$E$136,MATCH($G11&amp;K$1,$A$2:$A$136,0),4)</f>
        <v>0.45894667506217957</v>
      </c>
      <c r="L11" s="1">
        <f>INDEX($B$2:$E$136,MATCH($G11&amp;L$1,$A$2:$A$136,0),4)</f>
        <v>0.44315639138221741</v>
      </c>
      <c r="M11" s="3">
        <v>0.51979058980941772</v>
      </c>
    </row>
    <row r="12" spans="1:14" x14ac:dyDescent="0.25">
      <c r="A12" s="1" t="str">
        <f t="shared" si="1"/>
        <v>CAN18-24</v>
      </c>
      <c r="B12" s="1" t="s">
        <v>7</v>
      </c>
      <c r="C12" s="1" t="s">
        <v>31</v>
      </c>
      <c r="D12" s="2">
        <v>139</v>
      </c>
      <c r="E12" s="2">
        <v>0.79911702871322632</v>
      </c>
      <c r="G12" s="1" t="s">
        <v>12</v>
      </c>
      <c r="H12" s="1">
        <f t="shared" ref="H12:L14" si="4">INDEX($B$2:$E$78,MATCH($G12&amp;H$1,$A$2:$A$78,0),4)</f>
        <v>0.741038978099823</v>
      </c>
      <c r="I12" s="1">
        <f t="shared" si="4"/>
        <v>0.62769448757171631</v>
      </c>
      <c r="J12" s="1">
        <f t="shared" si="4"/>
        <v>0.53541511297225952</v>
      </c>
      <c r="K12" s="1">
        <f t="shared" si="4"/>
        <v>0.50848174095153809</v>
      </c>
      <c r="L12" s="1">
        <f t="shared" si="4"/>
        <v>0.46751174330711365</v>
      </c>
      <c r="M12" s="3">
        <v>0.55596590042114258</v>
      </c>
    </row>
    <row r="13" spans="1:14" x14ac:dyDescent="0.25">
      <c r="A13" s="1" t="str">
        <f t="shared" si="1"/>
        <v>CAN25-34</v>
      </c>
      <c r="B13" s="1" t="s">
        <v>7</v>
      </c>
      <c r="C13" s="1" t="s">
        <v>32</v>
      </c>
      <c r="D13" s="2">
        <v>208</v>
      </c>
      <c r="E13" s="2">
        <v>0.66083431243896484</v>
      </c>
      <c r="G13" s="1" t="s">
        <v>18</v>
      </c>
      <c r="H13" s="1">
        <f t="shared" si="4"/>
        <v>0.7329174280166626</v>
      </c>
      <c r="I13" s="1">
        <f t="shared" si="4"/>
        <v>0.66660362482070923</v>
      </c>
      <c r="J13" s="1">
        <f t="shared" si="4"/>
        <v>0.57267606258392334</v>
      </c>
      <c r="K13" s="1">
        <f t="shared" si="4"/>
        <v>0.46452963352203369</v>
      </c>
      <c r="L13" s="1">
        <f t="shared" si="4"/>
        <v>0.47763511538505554</v>
      </c>
      <c r="M13" s="3">
        <v>0.58973157405853271</v>
      </c>
    </row>
    <row r="14" spans="1:14" x14ac:dyDescent="0.25">
      <c r="A14" s="1" t="str">
        <f t="shared" si="1"/>
        <v>CAN35-44</v>
      </c>
      <c r="B14" s="1" t="s">
        <v>7</v>
      </c>
      <c r="C14" s="1" t="s">
        <v>33</v>
      </c>
      <c r="D14" s="2">
        <v>239</v>
      </c>
      <c r="E14" s="2">
        <v>0.53972798585891724</v>
      </c>
      <c r="G14" s="1" t="s">
        <v>5</v>
      </c>
      <c r="H14" s="1">
        <f t="shared" si="4"/>
        <v>0.72924673557281494</v>
      </c>
      <c r="I14" s="1">
        <f t="shared" si="4"/>
        <v>0.5015832781791687</v>
      </c>
      <c r="J14" s="1">
        <f t="shared" si="4"/>
        <v>0.44047930836677551</v>
      </c>
      <c r="K14" s="1">
        <f t="shared" si="4"/>
        <v>0.43690907955169678</v>
      </c>
      <c r="L14" s="1">
        <f t="shared" si="4"/>
        <v>0.30787122249603271</v>
      </c>
      <c r="M14" s="3">
        <v>0.46213105320930481</v>
      </c>
    </row>
    <row r="15" spans="1:14" x14ac:dyDescent="0.25">
      <c r="A15" s="1" t="str">
        <f t="shared" si="1"/>
        <v>CAN45-54</v>
      </c>
      <c r="B15" s="1" t="s">
        <v>7</v>
      </c>
      <c r="C15" s="1" t="s">
        <v>34</v>
      </c>
      <c r="D15" s="2">
        <v>183</v>
      </c>
      <c r="E15" s="2">
        <v>0.39629527926445007</v>
      </c>
      <c r="G15" s="1" t="s">
        <v>25</v>
      </c>
      <c r="H15" s="1">
        <f t="shared" ref="H15:L18" si="5">INDEX($B$2:$E$136,MATCH($G15&amp;H$1,$A$2:$A$136,0),4)</f>
        <v>0.72044157981872559</v>
      </c>
      <c r="I15" s="1">
        <f t="shared" si="5"/>
        <v>0.57083034515380859</v>
      </c>
      <c r="J15" s="1">
        <f t="shared" si="5"/>
        <v>0.51308983564376831</v>
      </c>
      <c r="K15" s="1">
        <f t="shared" si="5"/>
        <v>0.42831453680992126</v>
      </c>
      <c r="L15" s="1">
        <f t="shared" si="5"/>
        <v>0.32413184642791748</v>
      </c>
      <c r="M15" s="3">
        <v>0.50000566244125366</v>
      </c>
    </row>
    <row r="16" spans="1:14" x14ac:dyDescent="0.25">
      <c r="A16" s="1" t="str">
        <f t="shared" si="1"/>
        <v>CAN55-64</v>
      </c>
      <c r="B16" s="1" t="s">
        <v>7</v>
      </c>
      <c r="C16" s="1" t="s">
        <v>35</v>
      </c>
      <c r="D16" s="2">
        <v>234</v>
      </c>
      <c r="E16" s="2">
        <v>0.36309510469436646</v>
      </c>
      <c r="G16" s="1" t="s">
        <v>16</v>
      </c>
      <c r="H16" s="1">
        <f t="shared" si="5"/>
        <v>0.72002440690994263</v>
      </c>
      <c r="I16" s="1">
        <f t="shared" si="5"/>
        <v>0.69141554832458496</v>
      </c>
      <c r="J16" s="1">
        <f t="shared" si="5"/>
        <v>0.63143646717071533</v>
      </c>
      <c r="K16" s="1">
        <f t="shared" si="5"/>
        <v>0.56294733285903931</v>
      </c>
      <c r="L16" s="1">
        <f t="shared" si="5"/>
        <v>0.41613754630088806</v>
      </c>
      <c r="M16" s="3">
        <v>0.5887877345085144</v>
      </c>
    </row>
    <row r="17" spans="1:13" x14ac:dyDescent="0.25">
      <c r="A17" s="1" t="str">
        <f t="shared" si="1"/>
        <v>CHE18-24</v>
      </c>
      <c r="B17" s="1" t="s">
        <v>9</v>
      </c>
      <c r="C17" s="1" t="s">
        <v>31</v>
      </c>
      <c r="D17" s="2">
        <v>127</v>
      </c>
      <c r="E17" s="2">
        <v>0.5441935658454895</v>
      </c>
      <c r="G17" s="1" t="s">
        <v>23</v>
      </c>
      <c r="H17" s="1">
        <f t="shared" si="5"/>
        <v>0.69766461849212646</v>
      </c>
      <c r="I17" s="1">
        <f t="shared" si="5"/>
        <v>0.65064555406570435</v>
      </c>
      <c r="J17" s="1">
        <f t="shared" si="5"/>
        <v>0.62161785364151001</v>
      </c>
      <c r="K17" s="1">
        <f t="shared" si="5"/>
        <v>0.48204857110977173</v>
      </c>
      <c r="L17" s="1">
        <f t="shared" si="5"/>
        <v>0.39858779311180115</v>
      </c>
      <c r="M17" s="3">
        <v>0.54522836208343506</v>
      </c>
    </row>
    <row r="18" spans="1:13" x14ac:dyDescent="0.25">
      <c r="A18" s="1" t="str">
        <f t="shared" si="1"/>
        <v>CHE25-34</v>
      </c>
      <c r="B18" s="1" t="s">
        <v>9</v>
      </c>
      <c r="C18" s="1" t="s">
        <v>32</v>
      </c>
      <c r="D18" s="2">
        <v>205</v>
      </c>
      <c r="E18" s="2">
        <v>0.59899610280990601</v>
      </c>
      <c r="G18" s="1" t="s">
        <v>20</v>
      </c>
      <c r="H18" s="1">
        <f t="shared" si="5"/>
        <v>0.69102436304092407</v>
      </c>
      <c r="I18" s="1">
        <f t="shared" si="5"/>
        <v>0.63200372457504272</v>
      </c>
      <c r="J18" s="1">
        <f t="shared" si="5"/>
        <v>0.57715886831283569</v>
      </c>
      <c r="K18" s="1">
        <f t="shared" si="5"/>
        <v>0.61446851491928101</v>
      </c>
      <c r="L18" s="1">
        <f t="shared" si="5"/>
        <v>0.51651448011398315</v>
      </c>
      <c r="M18" s="3">
        <v>0.59521347284317017</v>
      </c>
    </row>
    <row r="19" spans="1:13" x14ac:dyDescent="0.25">
      <c r="A19" s="1" t="str">
        <f t="shared" si="1"/>
        <v>CHE35-44</v>
      </c>
      <c r="B19" s="1" t="s">
        <v>9</v>
      </c>
      <c r="C19" s="1" t="s">
        <v>33</v>
      </c>
      <c r="D19" s="2">
        <v>237</v>
      </c>
      <c r="E19" s="2">
        <v>0.44951805472373962</v>
      </c>
      <c r="G19" s="1" t="s">
        <v>3</v>
      </c>
      <c r="H19" s="1">
        <f>INDEX($B$2:$E$250,MATCH($G19&amp;H$1,$A$2:$A$250,0),4)</f>
        <v>0.68526846170425415</v>
      </c>
      <c r="I19" s="1">
        <f>INDEX($B$2:$E$78,MATCH($G19&amp;I$1,$A$2:$A$78,0),4)</f>
        <v>0.61306083202362061</v>
      </c>
      <c r="J19" s="1">
        <f>INDEX($B$2:$E$78,MATCH($G19&amp;J$1,$A$2:$A$78,0),4)</f>
        <v>0.48021915555000305</v>
      </c>
      <c r="K19" s="1">
        <f>INDEX($B$2:$E$78,MATCH($G19&amp;K$1,$A$2:$A$78,0),4)</f>
        <v>0.45727387070655823</v>
      </c>
      <c r="L19" s="1">
        <f>INDEX($B$2:$E$78,MATCH($G19&amp;L$1,$A$2:$A$78,0),4)</f>
        <v>0.43462446331977844</v>
      </c>
      <c r="M19" s="3">
        <v>0.51729446649551392</v>
      </c>
    </row>
    <row r="20" spans="1:13" x14ac:dyDescent="0.25">
      <c r="A20" s="1" t="str">
        <f t="shared" si="1"/>
        <v>CHE45-54</v>
      </c>
      <c r="B20" s="1" t="s">
        <v>9</v>
      </c>
      <c r="C20" s="1" t="s">
        <v>34</v>
      </c>
      <c r="D20" s="2">
        <v>210</v>
      </c>
      <c r="E20" s="2">
        <v>0.446737140417099</v>
      </c>
      <c r="G20" s="1" t="s">
        <v>11</v>
      </c>
      <c r="H20" s="1">
        <f>INDEX($B$2:$E$136,MATCH($G20&amp;H$1,$A$2:$A$136,0),4)</f>
        <v>0.66551834344863892</v>
      </c>
      <c r="I20" s="1">
        <f>INDEX($B$2:$E$136,MATCH($G20&amp;I$1,$A$2:$A$136,0),4)</f>
        <v>0.7005811333656311</v>
      </c>
      <c r="J20" s="1">
        <f>INDEX($B$2:$E$136,MATCH($G20&amp;J$1,$A$2:$A$136,0),4)</f>
        <v>0.65847176313400269</v>
      </c>
      <c r="K20" s="1">
        <f>INDEX($B$2:$E$136,MATCH($G20&amp;K$1,$A$2:$A$136,0),4)</f>
        <v>0.71126490831375122</v>
      </c>
      <c r="L20" s="1">
        <f>INDEX($B$2:$E$136,MATCH($G20&amp;L$1,$A$2:$A$136,0),4)</f>
        <v>0.75896626710891724</v>
      </c>
      <c r="M20" s="3">
        <v>0.69557720422744751</v>
      </c>
    </row>
    <row r="21" spans="1:13" x14ac:dyDescent="0.25">
      <c r="A21" s="1" t="str">
        <f t="shared" si="1"/>
        <v>CHE55-64</v>
      </c>
      <c r="B21" s="1" t="s">
        <v>9</v>
      </c>
      <c r="C21" s="1" t="s">
        <v>35</v>
      </c>
      <c r="D21" s="2">
        <v>220</v>
      </c>
      <c r="E21" s="2">
        <v>0.46204307675361633</v>
      </c>
      <c r="G21" s="1" t="s">
        <v>21</v>
      </c>
      <c r="H21" s="1">
        <f>INDEX($B$2:$E$78,MATCH($G21&amp;H$1,$A$2:$A$78,0),4)</f>
        <v>0.65945863723754883</v>
      </c>
      <c r="I21" s="1">
        <f>INDEX($B$2:$E$78,MATCH($G21&amp;I$1,$A$2:$A$78,0),4)</f>
        <v>0.56071621179580688</v>
      </c>
      <c r="J21" s="1">
        <f>INDEX($B$2:$E$78,MATCH($G21&amp;J$1,$A$2:$A$78,0),4)</f>
        <v>0.46358215808868408</v>
      </c>
      <c r="K21" s="1">
        <f>INDEX($B$2:$E$78,MATCH($G21&amp;K$1,$A$2:$A$78,0),4)</f>
        <v>0.49511668086051941</v>
      </c>
      <c r="L21" s="1">
        <f>INDEX($B$2:$E$78,MATCH($G21&amp;L$1,$A$2:$A$78,0),4)</f>
        <v>0.3347453773021698</v>
      </c>
      <c r="M21" s="3">
        <v>0.4896923303604126</v>
      </c>
    </row>
    <row r="22" spans="1:13" x14ac:dyDescent="0.25">
      <c r="A22" s="1" t="str">
        <f t="shared" si="1"/>
        <v>CHL18-24</v>
      </c>
      <c r="B22" s="1" t="s">
        <v>4</v>
      </c>
      <c r="C22" s="1" t="s">
        <v>31</v>
      </c>
      <c r="D22" s="2">
        <v>137</v>
      </c>
      <c r="E22" s="2">
        <v>0.89870727062225342</v>
      </c>
      <c r="G22" s="1" t="s">
        <v>15</v>
      </c>
      <c r="H22" s="1">
        <f>INDEX($B$2:$E$136,MATCH($G22&amp;H$1,$A$2:$A$136,0),4)</f>
        <v>0.62989789247512817</v>
      </c>
      <c r="I22" s="1">
        <f>INDEX($B$2:$E$136,MATCH($G22&amp;I$1,$A$2:$A$136,0),4)</f>
        <v>0.61160081624984741</v>
      </c>
      <c r="J22" s="1">
        <f>INDEX($B$2:$E$136,MATCH($G22&amp;J$1,$A$2:$A$136,0),4)</f>
        <v>0.63068735599517822</v>
      </c>
      <c r="K22" s="1">
        <f>INDEX($B$2:$E$136,MATCH($G22&amp;K$1,$A$2:$A$136,0),4)</f>
        <v>0.58382600545883179</v>
      </c>
      <c r="L22" s="1">
        <f>INDEX($B$2:$E$136,MATCH($G22&amp;L$1,$A$2:$A$136,0),4)</f>
        <v>0.5183756947517395</v>
      </c>
      <c r="M22" s="3">
        <v>0.58972734212875366</v>
      </c>
    </row>
    <row r="23" spans="1:13" x14ac:dyDescent="0.25">
      <c r="A23" s="1" t="str">
        <f t="shared" si="1"/>
        <v>CHL25-34</v>
      </c>
      <c r="B23" s="1" t="s">
        <v>4</v>
      </c>
      <c r="C23" s="1" t="s">
        <v>32</v>
      </c>
      <c r="D23" s="2">
        <v>226</v>
      </c>
      <c r="E23" s="2">
        <v>0.86745423078536987</v>
      </c>
      <c r="G23" s="1" t="s">
        <v>14</v>
      </c>
      <c r="H23" s="1">
        <f>INDEX($B$2:$E$78,MATCH($G23&amp;H$1,$A$2:$A$78,0),4)</f>
        <v>0.58548969030380249</v>
      </c>
      <c r="I23" s="1">
        <f>INDEX($B$2:$E$78,MATCH($G23&amp;I$1,$A$2:$A$78,0),4)</f>
        <v>0.42024216055870056</v>
      </c>
      <c r="J23" s="1">
        <f>INDEX($B$2:$E$78,MATCH($G23&amp;J$1,$A$2:$A$78,0),4)</f>
        <v>0.37092241644859314</v>
      </c>
      <c r="K23" s="1">
        <f>INDEX($B$2:$E$78,MATCH($G23&amp;K$1,$A$2:$A$78,0),4)</f>
        <v>0.33741781115531921</v>
      </c>
      <c r="L23" s="1">
        <f>INDEX($B$2:$E$78,MATCH($G23&amp;L$1,$A$2:$A$78,0),4)</f>
        <v>0.28075194358825684</v>
      </c>
      <c r="M23" s="3">
        <v>0.38605380058288574</v>
      </c>
    </row>
    <row r="24" spans="1:13" x14ac:dyDescent="0.25">
      <c r="A24" s="1" t="str">
        <f t="shared" si="1"/>
        <v>CHL35-44</v>
      </c>
      <c r="B24" s="1" t="s">
        <v>4</v>
      </c>
      <c r="C24" s="1" t="s">
        <v>33</v>
      </c>
      <c r="D24" s="2">
        <v>246</v>
      </c>
      <c r="E24" s="2">
        <v>0.79038935899734497</v>
      </c>
      <c r="G24" s="1" t="s">
        <v>28</v>
      </c>
      <c r="H24" s="1">
        <f>INDEX($B$2:$E$136,MATCH($G24&amp;H$1,$A$2:$A$136,0),4)</f>
        <v>0.54779738187789917</v>
      </c>
      <c r="I24" s="1">
        <f>INDEX($B$2:$E$136,MATCH($G24&amp;I$1,$A$2:$A$136,0),4)</f>
        <v>0.49986627697944641</v>
      </c>
      <c r="J24" s="1">
        <f>INDEX($B$2:$E$136,MATCH($G24&amp;J$1,$A$2:$A$136,0),4)</f>
        <v>0.42370691895484924</v>
      </c>
      <c r="K24" s="1">
        <f>INDEX($B$2:$E$136,MATCH($G24&amp;K$1,$A$2:$A$136,0),4)</f>
        <v>0.41455715894699097</v>
      </c>
      <c r="L24" s="1">
        <f>INDEX($B$2:$E$136,MATCH($G24&amp;L$1,$A$2:$A$136,0),4)</f>
        <v>0.30253684520721436</v>
      </c>
      <c r="M24" s="3">
        <v>0.4327160120010376</v>
      </c>
    </row>
    <row r="25" spans="1:13" x14ac:dyDescent="0.25">
      <c r="A25" s="1" t="str">
        <f t="shared" si="1"/>
        <v>CHL45-54</v>
      </c>
      <c r="B25" s="1" t="s">
        <v>4</v>
      </c>
      <c r="C25" s="1" t="s">
        <v>34</v>
      </c>
      <c r="D25" s="2">
        <v>205</v>
      </c>
      <c r="E25" s="2">
        <v>0.77778685092926025</v>
      </c>
      <c r="G25" s="1" t="s">
        <v>9</v>
      </c>
      <c r="H25" s="1">
        <f>INDEX($B$2:$E$78,MATCH($G25&amp;H$1,$A$2:$A$78,0),4)</f>
        <v>0.5441935658454895</v>
      </c>
      <c r="I25" s="1">
        <f>INDEX($B$2:$E$78,MATCH($G25&amp;I$1,$A$2:$A$78,0),4)</f>
        <v>0.59899610280990601</v>
      </c>
      <c r="J25" s="1">
        <f>INDEX($B$2:$E$78,MATCH($G25&amp;J$1,$A$2:$A$78,0),4)</f>
        <v>0.44951805472373962</v>
      </c>
      <c r="K25" s="1">
        <f>INDEX($B$2:$E$78,MATCH($G25&amp;K$1,$A$2:$A$78,0),4)</f>
        <v>0.446737140417099</v>
      </c>
      <c r="L25" s="1">
        <f>INDEX($B$2:$E$78,MATCH($G25&amp;L$1,$A$2:$A$78,0),4)</f>
        <v>0.46204307675361633</v>
      </c>
      <c r="M25" s="3">
        <v>0.49481537938117981</v>
      </c>
    </row>
    <row r="26" spans="1:13" x14ac:dyDescent="0.25">
      <c r="A26" s="1" t="str">
        <f t="shared" si="1"/>
        <v>CHL55-64</v>
      </c>
      <c r="B26" s="1" t="s">
        <v>4</v>
      </c>
      <c r="C26" s="1" t="s">
        <v>35</v>
      </c>
      <c r="D26" s="2">
        <v>190</v>
      </c>
      <c r="E26" s="2">
        <v>0.63955396413803101</v>
      </c>
      <c r="G26" s="1" t="s">
        <v>27</v>
      </c>
      <c r="H26" s="1">
        <f>INDEX($B$2:$E$136,MATCH($G26&amp;H$1,$A$2:$A$136,0),4)</f>
        <v>0.49403145909309387</v>
      </c>
      <c r="I26" s="1">
        <f>INDEX($B$2:$E$136,MATCH($G26&amp;I$1,$A$2:$A$136,0),4)</f>
        <v>0.51437085866928101</v>
      </c>
      <c r="J26" s="1">
        <f>INDEX($B$2:$E$136,MATCH($G26&amp;J$1,$A$2:$A$136,0),4)</f>
        <v>0.41807225346565247</v>
      </c>
      <c r="K26" s="1">
        <f>INDEX($B$2:$E$136,MATCH($G26&amp;K$1,$A$2:$A$136,0),4)</f>
        <v>0.43064939975738525</v>
      </c>
      <c r="L26" s="1">
        <f>INDEX($B$2:$E$136,MATCH($G26&amp;L$1,$A$2:$A$136,0),4)</f>
        <v>0.47977113723754883</v>
      </c>
      <c r="M26" s="3">
        <v>0.46167153120040894</v>
      </c>
    </row>
    <row r="27" spans="1:13" x14ac:dyDescent="0.25">
      <c r="A27" s="1" t="str">
        <f t="shared" si="1"/>
        <v>DEU18-24</v>
      </c>
      <c r="B27" s="1" t="s">
        <v>12</v>
      </c>
      <c r="C27" s="1" t="s">
        <v>31</v>
      </c>
      <c r="D27" s="2">
        <v>126</v>
      </c>
      <c r="E27" s="2">
        <v>0.741038978099823</v>
      </c>
      <c r="G27" s="1" t="s">
        <v>17</v>
      </c>
      <c r="H27" s="1">
        <f t="shared" ref="H27:L28" si="6">INDEX($B$2:$E$78,MATCH($G27&amp;H$1,$A$2:$A$78,0),4)</f>
        <v>0.49195492267608643</v>
      </c>
      <c r="I27" s="1">
        <f t="shared" si="6"/>
        <v>0.48260968923568726</v>
      </c>
      <c r="J27" s="1">
        <f t="shared" si="6"/>
        <v>0.55108475685119629</v>
      </c>
      <c r="K27" s="1">
        <f t="shared" si="6"/>
        <v>0.4630236029624939</v>
      </c>
      <c r="L27" s="1">
        <f t="shared" si="6"/>
        <v>0.47262385487556458</v>
      </c>
      <c r="M27" s="3">
        <v>0.49333521723747253</v>
      </c>
    </row>
    <row r="28" spans="1:13" x14ac:dyDescent="0.25">
      <c r="A28" s="1" t="str">
        <f t="shared" si="1"/>
        <v>DEU25-34</v>
      </c>
      <c r="B28" s="1" t="s">
        <v>12</v>
      </c>
      <c r="C28" s="1" t="s">
        <v>32</v>
      </c>
      <c r="D28" s="2">
        <v>206</v>
      </c>
      <c r="E28" s="2">
        <v>0.62769448757171631</v>
      </c>
      <c r="G28" s="1" t="s">
        <v>19</v>
      </c>
      <c r="H28" s="1">
        <f t="shared" si="6"/>
        <v>0.46528166532516479</v>
      </c>
      <c r="I28" s="1">
        <f t="shared" si="6"/>
        <v>0.4593149721622467</v>
      </c>
      <c r="J28" s="1">
        <f t="shared" si="6"/>
        <v>0.4021088182926178</v>
      </c>
      <c r="K28" s="1">
        <f t="shared" si="6"/>
        <v>0.44562727212905884</v>
      </c>
      <c r="L28" s="1">
        <f t="shared" si="6"/>
        <v>0.41115224361419678</v>
      </c>
      <c r="M28" s="3">
        <v>0.43399092555046082</v>
      </c>
    </row>
    <row r="29" spans="1:13" x14ac:dyDescent="0.25">
      <c r="A29" s="1" t="str">
        <f t="shared" si="1"/>
        <v>DEU35-44</v>
      </c>
      <c r="B29" s="1" t="s">
        <v>12</v>
      </c>
      <c r="C29" s="1" t="s">
        <v>33</v>
      </c>
      <c r="D29" s="2">
        <v>205</v>
      </c>
      <c r="E29" s="2">
        <v>0.53541511297225952</v>
      </c>
    </row>
    <row r="30" spans="1:13" x14ac:dyDescent="0.25">
      <c r="A30" s="1" t="str">
        <f t="shared" si="1"/>
        <v>DEU45-54</v>
      </c>
      <c r="B30" s="1" t="s">
        <v>12</v>
      </c>
      <c r="C30" s="1" t="s">
        <v>34</v>
      </c>
      <c r="D30" s="2">
        <v>225</v>
      </c>
      <c r="E30" s="2">
        <v>0.50848174095153809</v>
      </c>
    </row>
    <row r="31" spans="1:13" x14ac:dyDescent="0.25">
      <c r="A31" s="1" t="str">
        <f t="shared" si="1"/>
        <v>DEU55-64</v>
      </c>
      <c r="B31" s="1" t="s">
        <v>12</v>
      </c>
      <c r="C31" s="1" t="s">
        <v>35</v>
      </c>
      <c r="D31" s="2">
        <v>247</v>
      </c>
      <c r="E31" s="2">
        <v>0.46751174330711365</v>
      </c>
    </row>
    <row r="32" spans="1:13" x14ac:dyDescent="0.25">
      <c r="A32" s="1" t="str">
        <f t="shared" si="1"/>
        <v>DNK18-24</v>
      </c>
      <c r="B32" s="1" t="s">
        <v>14</v>
      </c>
      <c r="C32" s="1" t="s">
        <v>31</v>
      </c>
      <c r="D32" s="2">
        <v>147</v>
      </c>
      <c r="E32" s="2">
        <v>0.58548969030380249</v>
      </c>
    </row>
    <row r="33" spans="1:5" x14ac:dyDescent="0.25">
      <c r="A33" s="1" t="str">
        <f t="shared" si="1"/>
        <v>DNK25-34</v>
      </c>
      <c r="B33" s="1" t="s">
        <v>14</v>
      </c>
      <c r="C33" s="1" t="s">
        <v>32</v>
      </c>
      <c r="D33" s="2">
        <v>228</v>
      </c>
      <c r="E33" s="2">
        <v>0.42024216055870056</v>
      </c>
    </row>
    <row r="34" spans="1:5" x14ac:dyDescent="0.25">
      <c r="A34" s="1" t="str">
        <f t="shared" si="1"/>
        <v>DNK35-44</v>
      </c>
      <c r="B34" s="1" t="s">
        <v>14</v>
      </c>
      <c r="C34" s="1" t="s">
        <v>33</v>
      </c>
      <c r="D34" s="2">
        <v>190</v>
      </c>
      <c r="E34" s="2">
        <v>0.37092241644859314</v>
      </c>
    </row>
    <row r="35" spans="1:5" x14ac:dyDescent="0.25">
      <c r="A35" s="1" t="str">
        <f t="shared" si="1"/>
        <v>DNK45-54</v>
      </c>
      <c r="B35" s="1" t="s">
        <v>14</v>
      </c>
      <c r="C35" s="1" t="s">
        <v>34</v>
      </c>
      <c r="D35" s="2">
        <v>214</v>
      </c>
      <c r="E35" s="2">
        <v>0.33741781115531921</v>
      </c>
    </row>
    <row r="36" spans="1:5" x14ac:dyDescent="0.25">
      <c r="A36" s="1" t="str">
        <f t="shared" si="1"/>
        <v>DNK55-64</v>
      </c>
      <c r="B36" s="1" t="s">
        <v>14</v>
      </c>
      <c r="C36" s="1" t="s">
        <v>35</v>
      </c>
      <c r="D36" s="2">
        <v>226</v>
      </c>
      <c r="E36" s="2">
        <v>0.28075194358825684</v>
      </c>
    </row>
    <row r="37" spans="1:5" x14ac:dyDescent="0.25">
      <c r="A37" s="1" t="str">
        <f t="shared" si="1"/>
        <v>ESP18-24</v>
      </c>
      <c r="B37" s="1" t="s">
        <v>6</v>
      </c>
      <c r="C37" s="1" t="s">
        <v>31</v>
      </c>
      <c r="D37" s="2">
        <v>117</v>
      </c>
      <c r="E37" s="2">
        <v>0.94856500625610352</v>
      </c>
    </row>
    <row r="38" spans="1:5" x14ac:dyDescent="0.25">
      <c r="A38" s="1" t="str">
        <f t="shared" si="1"/>
        <v>ESP25-34</v>
      </c>
      <c r="B38" s="1" t="s">
        <v>6</v>
      </c>
      <c r="C38" s="1" t="s">
        <v>32</v>
      </c>
      <c r="D38" s="2">
        <v>210</v>
      </c>
      <c r="E38" s="2">
        <v>0.89360582828521729</v>
      </c>
    </row>
    <row r="39" spans="1:5" x14ac:dyDescent="0.25">
      <c r="A39" s="1" t="str">
        <f t="shared" si="1"/>
        <v>ESP35-44</v>
      </c>
      <c r="B39" s="1" t="s">
        <v>6</v>
      </c>
      <c r="C39" s="1" t="s">
        <v>33</v>
      </c>
      <c r="D39" s="2">
        <v>231</v>
      </c>
      <c r="E39" s="2">
        <v>0.75865018367767334</v>
      </c>
    </row>
    <row r="40" spans="1:5" x14ac:dyDescent="0.25">
      <c r="A40" s="1" t="str">
        <f t="shared" si="1"/>
        <v>ESP45-54</v>
      </c>
      <c r="B40" s="1" t="s">
        <v>6</v>
      </c>
      <c r="C40" s="1" t="s">
        <v>34</v>
      </c>
      <c r="D40" s="2">
        <v>248</v>
      </c>
      <c r="E40" s="2">
        <v>0.71073514223098755</v>
      </c>
    </row>
    <row r="41" spans="1:5" x14ac:dyDescent="0.25">
      <c r="A41" s="1" t="str">
        <f t="shared" si="1"/>
        <v>ESP55-64</v>
      </c>
      <c r="B41" s="1" t="s">
        <v>6</v>
      </c>
      <c r="C41" s="1" t="s">
        <v>35</v>
      </c>
      <c r="D41" s="2">
        <v>214</v>
      </c>
      <c r="E41" s="2">
        <v>0.67738509178161621</v>
      </c>
    </row>
    <row r="42" spans="1:5" x14ac:dyDescent="0.25">
      <c r="A42" s="1" t="str">
        <f t="shared" si="1"/>
        <v>EST18-24</v>
      </c>
      <c r="B42" s="1" t="s">
        <v>17</v>
      </c>
      <c r="C42" s="1" t="s">
        <v>31</v>
      </c>
      <c r="D42" s="2">
        <v>119</v>
      </c>
      <c r="E42" s="2">
        <v>0.49195492267608643</v>
      </c>
    </row>
    <row r="43" spans="1:5" x14ac:dyDescent="0.25">
      <c r="A43" s="1" t="str">
        <f t="shared" si="1"/>
        <v>EST25-34</v>
      </c>
      <c r="B43" s="1" t="s">
        <v>17</v>
      </c>
      <c r="C43" s="1" t="s">
        <v>32</v>
      </c>
      <c r="D43" s="2">
        <v>230</v>
      </c>
      <c r="E43" s="2">
        <v>0.48260968923568726</v>
      </c>
    </row>
    <row r="44" spans="1:5" x14ac:dyDescent="0.25">
      <c r="A44" s="1" t="str">
        <f t="shared" si="1"/>
        <v>EST35-44</v>
      </c>
      <c r="B44" s="1" t="s">
        <v>17</v>
      </c>
      <c r="C44" s="1" t="s">
        <v>33</v>
      </c>
      <c r="D44" s="2">
        <v>201</v>
      </c>
      <c r="E44" s="2">
        <v>0.55108475685119629</v>
      </c>
    </row>
    <row r="45" spans="1:5" x14ac:dyDescent="0.25">
      <c r="A45" s="1" t="str">
        <f t="shared" si="1"/>
        <v>EST45-54</v>
      </c>
      <c r="B45" s="1" t="s">
        <v>17</v>
      </c>
      <c r="C45" s="1" t="s">
        <v>34</v>
      </c>
      <c r="D45" s="2">
        <v>246</v>
      </c>
      <c r="E45" s="2">
        <v>0.4630236029624939</v>
      </c>
    </row>
    <row r="46" spans="1:5" x14ac:dyDescent="0.25">
      <c r="A46" s="1" t="str">
        <f t="shared" si="1"/>
        <v>EST55-64</v>
      </c>
      <c r="B46" s="1" t="s">
        <v>17</v>
      </c>
      <c r="C46" s="1" t="s">
        <v>35</v>
      </c>
      <c r="D46" s="2">
        <v>229</v>
      </c>
      <c r="E46" s="2">
        <v>0.47262385487556458</v>
      </c>
    </row>
    <row r="47" spans="1:5" x14ac:dyDescent="0.25">
      <c r="A47" s="1" t="str">
        <f t="shared" si="1"/>
        <v>FIN18-24</v>
      </c>
      <c r="B47" s="1" t="s">
        <v>19</v>
      </c>
      <c r="C47" s="1" t="s">
        <v>31</v>
      </c>
      <c r="D47" s="2">
        <v>135</v>
      </c>
      <c r="E47" s="2">
        <v>0.46528166532516479</v>
      </c>
    </row>
    <row r="48" spans="1:5" x14ac:dyDescent="0.25">
      <c r="A48" s="1" t="str">
        <f t="shared" si="1"/>
        <v>FIN25-34</v>
      </c>
      <c r="B48" s="1" t="s">
        <v>19</v>
      </c>
      <c r="C48" s="1" t="s">
        <v>32</v>
      </c>
      <c r="D48" s="2">
        <v>246</v>
      </c>
      <c r="E48" s="2">
        <v>0.4593149721622467</v>
      </c>
    </row>
    <row r="49" spans="1:5" x14ac:dyDescent="0.25">
      <c r="A49" s="1" t="str">
        <f t="shared" si="1"/>
        <v>FIN35-44</v>
      </c>
      <c r="B49" s="1" t="s">
        <v>19</v>
      </c>
      <c r="C49" s="1" t="s">
        <v>33</v>
      </c>
      <c r="D49" s="2">
        <v>211</v>
      </c>
      <c r="E49" s="2">
        <v>0.4021088182926178</v>
      </c>
    </row>
    <row r="50" spans="1:5" x14ac:dyDescent="0.25">
      <c r="A50" s="1" t="str">
        <f t="shared" si="1"/>
        <v>FIN45-54</v>
      </c>
      <c r="B50" s="1" t="s">
        <v>19</v>
      </c>
      <c r="C50" s="1" t="s">
        <v>34</v>
      </c>
      <c r="D50" s="2">
        <v>206</v>
      </c>
      <c r="E50" s="2">
        <v>0.44562727212905884</v>
      </c>
    </row>
    <row r="51" spans="1:5" x14ac:dyDescent="0.25">
      <c r="A51" s="1" t="str">
        <f t="shared" si="1"/>
        <v>FIN55-64</v>
      </c>
      <c r="B51" s="1" t="s">
        <v>19</v>
      </c>
      <c r="C51" s="1" t="s">
        <v>35</v>
      </c>
      <c r="D51" s="2">
        <v>230</v>
      </c>
      <c r="E51" s="2">
        <v>0.41115224361419678</v>
      </c>
    </row>
    <row r="52" spans="1:5" x14ac:dyDescent="0.25">
      <c r="A52" s="1" t="str">
        <f t="shared" si="1"/>
        <v>FRA18-24</v>
      </c>
      <c r="B52" s="1" t="s">
        <v>21</v>
      </c>
      <c r="C52" s="1" t="s">
        <v>31</v>
      </c>
      <c r="D52" s="2">
        <v>155</v>
      </c>
      <c r="E52" s="2">
        <v>0.65945863723754883</v>
      </c>
    </row>
    <row r="53" spans="1:5" x14ac:dyDescent="0.25">
      <c r="A53" s="1" t="str">
        <f t="shared" si="1"/>
        <v>FRA25-34</v>
      </c>
      <c r="B53" s="1" t="s">
        <v>21</v>
      </c>
      <c r="C53" s="1" t="s">
        <v>32</v>
      </c>
      <c r="D53" s="2">
        <v>217</v>
      </c>
      <c r="E53" s="2">
        <v>0.56071621179580688</v>
      </c>
    </row>
    <row r="54" spans="1:5" x14ac:dyDescent="0.25">
      <c r="A54" s="1" t="str">
        <f t="shared" si="1"/>
        <v>FRA35-44</v>
      </c>
      <c r="B54" s="1" t="s">
        <v>21</v>
      </c>
      <c r="C54" s="1" t="s">
        <v>33</v>
      </c>
      <c r="D54" s="2">
        <v>197</v>
      </c>
      <c r="E54" s="2">
        <v>0.46358215808868408</v>
      </c>
    </row>
    <row r="55" spans="1:5" x14ac:dyDescent="0.25">
      <c r="A55" s="1" t="str">
        <f t="shared" si="1"/>
        <v>FRA45-54</v>
      </c>
      <c r="B55" s="1" t="s">
        <v>21</v>
      </c>
      <c r="C55" s="1" t="s">
        <v>34</v>
      </c>
      <c r="D55" s="2">
        <v>205</v>
      </c>
      <c r="E55" s="2">
        <v>0.49511668086051941</v>
      </c>
    </row>
    <row r="56" spans="1:5" x14ac:dyDescent="0.25">
      <c r="A56" s="1" t="str">
        <f t="shared" si="1"/>
        <v>FRA55-64</v>
      </c>
      <c r="B56" s="1" t="s">
        <v>21</v>
      </c>
      <c r="C56" s="1" t="s">
        <v>35</v>
      </c>
      <c r="D56" s="2">
        <v>245</v>
      </c>
      <c r="E56" s="2">
        <v>0.3347453773021698</v>
      </c>
    </row>
    <row r="57" spans="1:5" x14ac:dyDescent="0.25">
      <c r="A57" s="1" t="str">
        <f t="shared" si="1"/>
        <v>GBR18-24</v>
      </c>
      <c r="B57" s="1" t="s">
        <v>22</v>
      </c>
      <c r="C57" s="1" t="s">
        <v>31</v>
      </c>
      <c r="D57" s="2">
        <v>138</v>
      </c>
      <c r="E57" s="2">
        <v>0.80095088481903076</v>
      </c>
    </row>
    <row r="58" spans="1:5" x14ac:dyDescent="0.25">
      <c r="A58" s="1" t="str">
        <f t="shared" si="1"/>
        <v>GBR25-34</v>
      </c>
      <c r="B58" s="1" t="s">
        <v>22</v>
      </c>
      <c r="C58" s="1" t="s">
        <v>32</v>
      </c>
      <c r="D58" s="2">
        <v>238</v>
      </c>
      <c r="E58" s="2">
        <v>0.63720625638961792</v>
      </c>
    </row>
    <row r="59" spans="1:5" x14ac:dyDescent="0.25">
      <c r="A59" s="1" t="str">
        <f t="shared" si="1"/>
        <v>GBR35-44</v>
      </c>
      <c r="B59" s="1" t="s">
        <v>22</v>
      </c>
      <c r="C59" s="1" t="s">
        <v>33</v>
      </c>
      <c r="D59" s="2">
        <v>201</v>
      </c>
      <c r="E59" s="2">
        <v>0.54392367601394653</v>
      </c>
    </row>
    <row r="60" spans="1:5" x14ac:dyDescent="0.25">
      <c r="A60" s="1" t="str">
        <f t="shared" si="1"/>
        <v>GBR45-54</v>
      </c>
      <c r="B60" s="1" t="s">
        <v>22</v>
      </c>
      <c r="C60" s="1" t="s">
        <v>34</v>
      </c>
      <c r="D60" s="2">
        <v>230</v>
      </c>
      <c r="E60" s="2">
        <v>0.43013441562652588</v>
      </c>
    </row>
    <row r="61" spans="1:5" x14ac:dyDescent="0.25">
      <c r="A61" s="1" t="str">
        <f t="shared" si="1"/>
        <v>GBR55-64</v>
      </c>
      <c r="B61" s="1" t="s">
        <v>22</v>
      </c>
      <c r="C61" s="1" t="s">
        <v>35</v>
      </c>
      <c r="D61" s="2">
        <v>230</v>
      </c>
      <c r="E61" s="2">
        <v>0.3457486629486084</v>
      </c>
    </row>
    <row r="62" spans="1:5" x14ac:dyDescent="0.25">
      <c r="A62" s="1" t="str">
        <f t="shared" si="1"/>
        <v>GRC18-24</v>
      </c>
      <c r="B62" s="1" t="s">
        <v>10</v>
      </c>
      <c r="C62" s="1" t="s">
        <v>31</v>
      </c>
      <c r="D62" s="2">
        <v>124</v>
      </c>
      <c r="E62" s="2">
        <v>0.78750330209732056</v>
      </c>
    </row>
    <row r="63" spans="1:5" x14ac:dyDescent="0.25">
      <c r="A63" s="1" t="str">
        <f t="shared" si="1"/>
        <v>GRC25-34</v>
      </c>
      <c r="B63" s="1" t="s">
        <v>10</v>
      </c>
      <c r="C63" s="1" t="s">
        <v>32</v>
      </c>
      <c r="D63" s="2">
        <v>191</v>
      </c>
      <c r="E63" s="2">
        <v>0.80200701951980591</v>
      </c>
    </row>
    <row r="64" spans="1:5" x14ac:dyDescent="0.25">
      <c r="A64" s="1" t="str">
        <f t="shared" si="1"/>
        <v>GRC35-44</v>
      </c>
      <c r="B64" s="1" t="s">
        <v>10</v>
      </c>
      <c r="C64" s="1" t="s">
        <v>33</v>
      </c>
      <c r="D64" s="2">
        <v>242</v>
      </c>
      <c r="E64" s="2">
        <v>0.77573966979980469</v>
      </c>
    </row>
    <row r="65" spans="1:5" x14ac:dyDescent="0.25">
      <c r="A65" s="1" t="str">
        <f t="shared" si="1"/>
        <v>GRC45-54</v>
      </c>
      <c r="B65" s="1" t="s">
        <v>10</v>
      </c>
      <c r="C65" s="1" t="s">
        <v>34</v>
      </c>
      <c r="D65" s="2">
        <v>223</v>
      </c>
      <c r="E65" s="2">
        <v>0.75439453125</v>
      </c>
    </row>
    <row r="66" spans="1:5" x14ac:dyDescent="0.25">
      <c r="A66" s="1" t="str">
        <f t="shared" si="1"/>
        <v>GRC55-64</v>
      </c>
      <c r="B66" s="1" t="s">
        <v>10</v>
      </c>
      <c r="C66" s="1" t="s">
        <v>35</v>
      </c>
      <c r="D66" s="2">
        <v>232</v>
      </c>
      <c r="E66" s="2">
        <v>0.60927510261535645</v>
      </c>
    </row>
    <row r="67" spans="1:5" x14ac:dyDescent="0.25">
      <c r="A67" s="1" t="str">
        <f t="shared" ref="A67:A130" si="7">B67&amp;C67</f>
        <v>IRL18-24</v>
      </c>
      <c r="B67" s="1" t="s">
        <v>24</v>
      </c>
      <c r="C67" s="1" t="s">
        <v>31</v>
      </c>
      <c r="D67" s="2">
        <v>135</v>
      </c>
      <c r="E67" s="2">
        <v>0.84309238195419312</v>
      </c>
    </row>
    <row r="68" spans="1:5" x14ac:dyDescent="0.25">
      <c r="A68" s="1" t="str">
        <f t="shared" si="7"/>
        <v>IRL25-34</v>
      </c>
      <c r="B68" s="1" t="s">
        <v>24</v>
      </c>
      <c r="C68" s="1" t="s">
        <v>32</v>
      </c>
      <c r="D68" s="2">
        <v>192</v>
      </c>
      <c r="E68" s="2">
        <v>0.5484309196472168</v>
      </c>
    </row>
    <row r="69" spans="1:5" x14ac:dyDescent="0.25">
      <c r="A69" s="1" t="str">
        <f t="shared" si="7"/>
        <v>IRL35-44</v>
      </c>
      <c r="B69" s="1" t="s">
        <v>24</v>
      </c>
      <c r="C69" s="1" t="s">
        <v>33</v>
      </c>
      <c r="D69" s="2">
        <v>262</v>
      </c>
      <c r="E69" s="2">
        <v>0.36441344022750854</v>
      </c>
    </row>
    <row r="70" spans="1:5" x14ac:dyDescent="0.25">
      <c r="A70" s="1" t="str">
        <f t="shared" si="7"/>
        <v>IRL45-54</v>
      </c>
      <c r="B70" s="1" t="s">
        <v>24</v>
      </c>
      <c r="C70" s="1" t="s">
        <v>34</v>
      </c>
      <c r="D70" s="2">
        <v>241</v>
      </c>
      <c r="E70" s="2">
        <v>0.30754962563514709</v>
      </c>
    </row>
    <row r="71" spans="1:5" x14ac:dyDescent="0.25">
      <c r="A71" s="1" t="str">
        <f t="shared" si="7"/>
        <v>IRL55-64</v>
      </c>
      <c r="B71" s="1" t="s">
        <v>24</v>
      </c>
      <c r="C71" s="1" t="s">
        <v>35</v>
      </c>
      <c r="D71" s="2">
        <v>181</v>
      </c>
      <c r="E71" s="2">
        <v>0.20071084797382355</v>
      </c>
    </row>
    <row r="72" spans="1:5" x14ac:dyDescent="0.25">
      <c r="A72" s="1" t="str">
        <f t="shared" si="7"/>
        <v>ISR18-24</v>
      </c>
      <c r="B72" s="1" t="s">
        <v>18</v>
      </c>
      <c r="C72" s="1" t="s">
        <v>31</v>
      </c>
      <c r="D72" s="2">
        <v>165</v>
      </c>
      <c r="E72" s="2">
        <v>0.7329174280166626</v>
      </c>
    </row>
    <row r="73" spans="1:5" x14ac:dyDescent="0.25">
      <c r="A73" s="1" t="str">
        <f t="shared" si="7"/>
        <v>ISR25-34</v>
      </c>
      <c r="B73" s="1" t="s">
        <v>18</v>
      </c>
      <c r="C73" s="1" t="s">
        <v>32</v>
      </c>
      <c r="D73" s="2">
        <v>242</v>
      </c>
      <c r="E73" s="2">
        <v>0.66660362482070923</v>
      </c>
    </row>
    <row r="74" spans="1:5" x14ac:dyDescent="0.25">
      <c r="A74" s="1" t="str">
        <f t="shared" si="7"/>
        <v>ISR35-44</v>
      </c>
      <c r="B74" s="1" t="s">
        <v>18</v>
      </c>
      <c r="C74" s="1" t="s">
        <v>33</v>
      </c>
      <c r="D74" s="2">
        <v>244</v>
      </c>
      <c r="E74" s="2">
        <v>0.57267606258392334</v>
      </c>
    </row>
    <row r="75" spans="1:5" x14ac:dyDescent="0.25">
      <c r="A75" s="1" t="str">
        <f t="shared" si="7"/>
        <v>ISR45-54</v>
      </c>
      <c r="B75" s="1" t="s">
        <v>18</v>
      </c>
      <c r="C75" s="1" t="s">
        <v>34</v>
      </c>
      <c r="D75" s="2">
        <v>216</v>
      </c>
      <c r="E75" s="2">
        <v>0.46452963352203369</v>
      </c>
    </row>
    <row r="76" spans="1:5" x14ac:dyDescent="0.25">
      <c r="A76" s="1" t="str">
        <f t="shared" si="7"/>
        <v>ISR55-64</v>
      </c>
      <c r="B76" s="1" t="s">
        <v>18</v>
      </c>
      <c r="C76" s="1" t="s">
        <v>35</v>
      </c>
      <c r="D76" s="2">
        <v>156</v>
      </c>
      <c r="E76" s="2">
        <v>0.47763511538505554</v>
      </c>
    </row>
    <row r="77" spans="1:5" x14ac:dyDescent="0.25">
      <c r="A77" s="1" t="str">
        <f t="shared" si="7"/>
        <v>ITA18-24</v>
      </c>
      <c r="B77" s="1" t="s">
        <v>23</v>
      </c>
      <c r="C77" s="1" t="s">
        <v>31</v>
      </c>
      <c r="D77" s="2">
        <v>119</v>
      </c>
      <c r="E77" s="2">
        <v>0.69766461849212646</v>
      </c>
    </row>
    <row r="78" spans="1:5" x14ac:dyDescent="0.25">
      <c r="A78" s="1" t="str">
        <f t="shared" si="7"/>
        <v>ITA25-34</v>
      </c>
      <c r="B78" s="1" t="s">
        <v>23</v>
      </c>
      <c r="C78" s="1" t="s">
        <v>32</v>
      </c>
      <c r="D78" s="2">
        <v>175</v>
      </c>
      <c r="E78" s="2">
        <v>0.65064555406570435</v>
      </c>
    </row>
    <row r="79" spans="1:5" x14ac:dyDescent="0.25">
      <c r="A79" s="1" t="str">
        <f t="shared" si="7"/>
        <v>ITA35-44</v>
      </c>
      <c r="B79" s="1" t="s">
        <v>23</v>
      </c>
      <c r="C79" s="1" t="s">
        <v>33</v>
      </c>
      <c r="D79" s="2">
        <v>209</v>
      </c>
      <c r="E79" s="2">
        <v>0.62161785364151001</v>
      </c>
    </row>
    <row r="80" spans="1:5" x14ac:dyDescent="0.25">
      <c r="A80" s="1" t="str">
        <f t="shared" si="7"/>
        <v>ITA45-54</v>
      </c>
      <c r="B80" s="1" t="s">
        <v>23</v>
      </c>
      <c r="C80" s="1" t="s">
        <v>34</v>
      </c>
      <c r="D80" s="2">
        <v>265</v>
      </c>
      <c r="E80" s="2">
        <v>0.48204857110977173</v>
      </c>
    </row>
    <row r="81" spans="1:5" x14ac:dyDescent="0.25">
      <c r="A81" s="1" t="str">
        <f t="shared" si="7"/>
        <v>ITA55-64</v>
      </c>
      <c r="B81" s="1" t="s">
        <v>23</v>
      </c>
      <c r="C81" s="1" t="s">
        <v>35</v>
      </c>
      <c r="D81" s="2">
        <v>250</v>
      </c>
      <c r="E81" s="2">
        <v>0.39858779311180115</v>
      </c>
    </row>
    <row r="82" spans="1:5" x14ac:dyDescent="0.25">
      <c r="A82" s="1" t="str">
        <f t="shared" si="7"/>
        <v>KOR18-24</v>
      </c>
      <c r="B82" s="1" t="s">
        <v>16</v>
      </c>
      <c r="C82" s="1" t="s">
        <v>31</v>
      </c>
      <c r="D82" s="2">
        <v>111</v>
      </c>
      <c r="E82" s="2">
        <v>0.72002440690994263</v>
      </c>
    </row>
    <row r="83" spans="1:5" x14ac:dyDescent="0.25">
      <c r="A83" s="1" t="str">
        <f t="shared" si="7"/>
        <v>KOR25-34</v>
      </c>
      <c r="B83" s="1" t="s">
        <v>16</v>
      </c>
      <c r="C83" s="1" t="s">
        <v>32</v>
      </c>
      <c r="D83" s="2">
        <v>154</v>
      </c>
      <c r="E83" s="2">
        <v>0.69141554832458496</v>
      </c>
    </row>
    <row r="84" spans="1:5" x14ac:dyDescent="0.25">
      <c r="A84" s="1" t="str">
        <f t="shared" si="7"/>
        <v>KOR35-44</v>
      </c>
      <c r="B84" s="1" t="s">
        <v>16</v>
      </c>
      <c r="C84" s="1" t="s">
        <v>33</v>
      </c>
      <c r="D84" s="2">
        <v>238</v>
      </c>
      <c r="E84" s="2">
        <v>0.63143646717071533</v>
      </c>
    </row>
    <row r="85" spans="1:5" x14ac:dyDescent="0.25">
      <c r="A85" s="1" t="str">
        <f t="shared" si="7"/>
        <v>KOR45-54</v>
      </c>
      <c r="B85" s="1" t="s">
        <v>16</v>
      </c>
      <c r="C85" s="1" t="s">
        <v>34</v>
      </c>
      <c r="D85" s="2">
        <v>282</v>
      </c>
      <c r="E85" s="2">
        <v>0.56294733285903931</v>
      </c>
    </row>
    <row r="86" spans="1:5" x14ac:dyDescent="0.25">
      <c r="A86" s="1" t="str">
        <f t="shared" si="7"/>
        <v>KOR55-64</v>
      </c>
      <c r="B86" s="1" t="s">
        <v>16</v>
      </c>
      <c r="C86" s="1" t="s">
        <v>35</v>
      </c>
      <c r="D86" s="2">
        <v>212</v>
      </c>
      <c r="E86" s="2">
        <v>0.41613754630088806</v>
      </c>
    </row>
    <row r="87" spans="1:5" x14ac:dyDescent="0.25">
      <c r="A87" s="1" t="str">
        <f t="shared" si="7"/>
        <v>LTU18-24</v>
      </c>
      <c r="B87" s="1" t="s">
        <v>20</v>
      </c>
      <c r="C87" s="1" t="s">
        <v>31</v>
      </c>
      <c r="D87" s="2">
        <v>125</v>
      </c>
      <c r="E87" s="2">
        <v>0.69102436304092407</v>
      </c>
    </row>
    <row r="88" spans="1:5" x14ac:dyDescent="0.25">
      <c r="A88" s="1" t="str">
        <f t="shared" si="7"/>
        <v>LTU25-34</v>
      </c>
      <c r="B88" s="1" t="s">
        <v>20</v>
      </c>
      <c r="C88" s="1" t="s">
        <v>32</v>
      </c>
      <c r="D88" s="2">
        <v>223</v>
      </c>
      <c r="E88" s="2">
        <v>0.63200372457504272</v>
      </c>
    </row>
    <row r="89" spans="1:5" x14ac:dyDescent="0.25">
      <c r="A89" s="1" t="str">
        <f t="shared" si="7"/>
        <v>LTU35-44</v>
      </c>
      <c r="B89" s="1" t="s">
        <v>20</v>
      </c>
      <c r="C89" s="1" t="s">
        <v>33</v>
      </c>
      <c r="D89" s="2">
        <v>152</v>
      </c>
      <c r="E89" s="2">
        <v>0.57715886831283569</v>
      </c>
    </row>
    <row r="90" spans="1:5" x14ac:dyDescent="0.25">
      <c r="A90" s="1" t="str">
        <f t="shared" si="7"/>
        <v>LTU45-54</v>
      </c>
      <c r="B90" s="1" t="s">
        <v>20</v>
      </c>
      <c r="C90" s="1" t="s">
        <v>34</v>
      </c>
      <c r="D90" s="2">
        <v>247</v>
      </c>
      <c r="E90" s="2">
        <v>0.61446851491928101</v>
      </c>
    </row>
    <row r="91" spans="1:5" x14ac:dyDescent="0.25">
      <c r="A91" s="1" t="str">
        <f t="shared" si="7"/>
        <v>LTU55-64</v>
      </c>
      <c r="B91" s="1" t="s">
        <v>20</v>
      </c>
      <c r="C91" s="1" t="s">
        <v>35</v>
      </c>
      <c r="D91" s="2">
        <v>276</v>
      </c>
      <c r="E91" s="2">
        <v>0.51651448011398315</v>
      </c>
    </row>
    <row r="92" spans="1:5" x14ac:dyDescent="0.25">
      <c r="A92" s="1" t="str">
        <f t="shared" si="7"/>
        <v>LVA18-24</v>
      </c>
      <c r="B92" s="1" t="s">
        <v>15</v>
      </c>
      <c r="C92" s="1" t="s">
        <v>31</v>
      </c>
      <c r="D92" s="2">
        <v>105</v>
      </c>
      <c r="E92" s="2">
        <v>0.62989789247512817</v>
      </c>
    </row>
    <row r="93" spans="1:5" x14ac:dyDescent="0.25">
      <c r="A93" s="1" t="str">
        <f t="shared" si="7"/>
        <v>LVA25-34</v>
      </c>
      <c r="B93" s="1" t="s">
        <v>15</v>
      </c>
      <c r="C93" s="1" t="s">
        <v>32</v>
      </c>
      <c r="D93" s="2">
        <v>233</v>
      </c>
      <c r="E93" s="2">
        <v>0.61160081624984741</v>
      </c>
    </row>
    <row r="94" spans="1:5" x14ac:dyDescent="0.25">
      <c r="A94" s="1" t="str">
        <f t="shared" si="7"/>
        <v>LVA35-44</v>
      </c>
      <c r="B94" s="1" t="s">
        <v>15</v>
      </c>
      <c r="C94" s="1" t="s">
        <v>33</v>
      </c>
      <c r="D94" s="2">
        <v>208</v>
      </c>
      <c r="E94" s="2">
        <v>0.63068735599517822</v>
      </c>
    </row>
    <row r="95" spans="1:5" x14ac:dyDescent="0.25">
      <c r="A95" s="1" t="str">
        <f t="shared" si="7"/>
        <v>LVA45-54</v>
      </c>
      <c r="B95" s="1" t="s">
        <v>15</v>
      </c>
      <c r="C95" s="1" t="s">
        <v>34</v>
      </c>
      <c r="D95" s="2">
        <v>252</v>
      </c>
      <c r="E95" s="2">
        <v>0.58382600545883179</v>
      </c>
    </row>
    <row r="96" spans="1:5" x14ac:dyDescent="0.25">
      <c r="A96" s="1" t="str">
        <f t="shared" si="7"/>
        <v>LVA55-64</v>
      </c>
      <c r="B96" s="1" t="s">
        <v>15</v>
      </c>
      <c r="C96" s="1" t="s">
        <v>35</v>
      </c>
      <c r="D96" s="2">
        <v>225</v>
      </c>
      <c r="E96" s="2">
        <v>0.5183756947517395</v>
      </c>
    </row>
    <row r="97" spans="1:5" x14ac:dyDescent="0.25">
      <c r="A97" s="1" t="str">
        <f t="shared" si="7"/>
        <v>MEX18-24</v>
      </c>
      <c r="B97" s="1" t="s">
        <v>8</v>
      </c>
      <c r="C97" s="1" t="s">
        <v>31</v>
      </c>
      <c r="D97" s="2">
        <v>218</v>
      </c>
      <c r="E97" s="2">
        <v>0.88560003042221069</v>
      </c>
    </row>
    <row r="98" spans="1:5" x14ac:dyDescent="0.25">
      <c r="A98" s="1" t="str">
        <f t="shared" si="7"/>
        <v>MEX25-34</v>
      </c>
      <c r="B98" s="1" t="s">
        <v>8</v>
      </c>
      <c r="C98" s="1" t="s">
        <v>32</v>
      </c>
      <c r="D98" s="2">
        <v>251</v>
      </c>
      <c r="E98" s="2">
        <v>0.83292454481124878</v>
      </c>
    </row>
    <row r="99" spans="1:5" x14ac:dyDescent="0.25">
      <c r="A99" s="1" t="str">
        <f t="shared" si="7"/>
        <v>MEX35-44</v>
      </c>
      <c r="B99" s="1" t="s">
        <v>8</v>
      </c>
      <c r="C99" s="1" t="s">
        <v>33</v>
      </c>
      <c r="D99" s="2">
        <v>220</v>
      </c>
      <c r="E99" s="2">
        <v>0.74081456661224365</v>
      </c>
    </row>
    <row r="100" spans="1:5" x14ac:dyDescent="0.25">
      <c r="A100" s="1" t="str">
        <f t="shared" si="7"/>
        <v>MEX45-54</v>
      </c>
      <c r="B100" s="1" t="s">
        <v>8</v>
      </c>
      <c r="C100" s="1" t="s">
        <v>34</v>
      </c>
      <c r="D100" s="2">
        <v>184</v>
      </c>
      <c r="E100" s="2">
        <v>0.7296372652053833</v>
      </c>
    </row>
    <row r="101" spans="1:5" x14ac:dyDescent="0.25">
      <c r="A101" s="1" t="str">
        <f t="shared" si="7"/>
        <v>MEX55-64</v>
      </c>
      <c r="B101" s="1" t="s">
        <v>8</v>
      </c>
      <c r="C101" s="1" t="s">
        <v>35</v>
      </c>
      <c r="D101" s="2">
        <v>148</v>
      </c>
      <c r="E101" s="2">
        <v>0.61846065521240234</v>
      </c>
    </row>
    <row r="102" spans="1:5" x14ac:dyDescent="0.25">
      <c r="A102" s="1" t="str">
        <f t="shared" si="7"/>
        <v>NLD18-24</v>
      </c>
      <c r="B102" s="1" t="s">
        <v>26</v>
      </c>
      <c r="C102" s="1" t="s">
        <v>31</v>
      </c>
      <c r="D102" s="2">
        <v>161</v>
      </c>
      <c r="E102" s="2">
        <v>0.75715947151184082</v>
      </c>
    </row>
    <row r="103" spans="1:5" x14ac:dyDescent="0.25">
      <c r="A103" s="1" t="str">
        <f t="shared" si="7"/>
        <v>NLD25-34</v>
      </c>
      <c r="B103" s="1" t="s">
        <v>26</v>
      </c>
      <c r="C103" s="1" t="s">
        <v>32</v>
      </c>
      <c r="D103" s="2">
        <v>244</v>
      </c>
      <c r="E103" s="2">
        <v>0.56718438863754272</v>
      </c>
    </row>
    <row r="104" spans="1:5" x14ac:dyDescent="0.25">
      <c r="A104" s="1" t="str">
        <f t="shared" si="7"/>
        <v>NLD35-44</v>
      </c>
      <c r="B104" s="1" t="s">
        <v>26</v>
      </c>
      <c r="C104" s="1" t="s">
        <v>33</v>
      </c>
      <c r="D104" s="2">
        <v>223</v>
      </c>
      <c r="E104" s="2">
        <v>0.45595508813858032</v>
      </c>
    </row>
    <row r="105" spans="1:5" x14ac:dyDescent="0.25">
      <c r="A105" s="1" t="str">
        <f t="shared" si="7"/>
        <v>NLD45-54</v>
      </c>
      <c r="B105" s="1" t="s">
        <v>26</v>
      </c>
      <c r="C105" s="1" t="s">
        <v>34</v>
      </c>
      <c r="D105" s="2">
        <v>203</v>
      </c>
      <c r="E105" s="2">
        <v>0.45894667506217957</v>
      </c>
    </row>
    <row r="106" spans="1:5" x14ac:dyDescent="0.25">
      <c r="A106" s="1" t="str">
        <f t="shared" si="7"/>
        <v>NLD55-64</v>
      </c>
      <c r="B106" s="1" t="s">
        <v>26</v>
      </c>
      <c r="C106" s="1" t="s">
        <v>35</v>
      </c>
      <c r="D106" s="2">
        <v>176</v>
      </c>
      <c r="E106" s="2">
        <v>0.44315639138221741</v>
      </c>
    </row>
    <row r="107" spans="1:5" x14ac:dyDescent="0.25">
      <c r="A107" s="1" t="str">
        <f t="shared" si="7"/>
        <v>NOR18-24</v>
      </c>
      <c r="B107" s="1" t="s">
        <v>28</v>
      </c>
      <c r="C107" s="1" t="s">
        <v>31</v>
      </c>
      <c r="D107" s="2">
        <v>132</v>
      </c>
      <c r="E107" s="2">
        <v>0.54779738187789917</v>
      </c>
    </row>
    <row r="108" spans="1:5" x14ac:dyDescent="0.25">
      <c r="A108" s="1" t="str">
        <f t="shared" si="7"/>
        <v>NOR25-34</v>
      </c>
      <c r="B108" s="1" t="s">
        <v>28</v>
      </c>
      <c r="C108" s="1" t="s">
        <v>32</v>
      </c>
      <c r="D108" s="2">
        <v>232</v>
      </c>
      <c r="E108" s="2">
        <v>0.49986627697944641</v>
      </c>
    </row>
    <row r="109" spans="1:5" x14ac:dyDescent="0.25">
      <c r="A109" s="1" t="str">
        <f t="shared" si="7"/>
        <v>NOR35-44</v>
      </c>
      <c r="B109" s="1" t="s">
        <v>28</v>
      </c>
      <c r="C109" s="1" t="s">
        <v>33</v>
      </c>
      <c r="D109" s="2">
        <v>239</v>
      </c>
      <c r="E109" s="2">
        <v>0.42370691895484924</v>
      </c>
    </row>
    <row r="110" spans="1:5" x14ac:dyDescent="0.25">
      <c r="A110" s="1" t="str">
        <f t="shared" si="7"/>
        <v>NOR45-54</v>
      </c>
      <c r="B110" s="1" t="s">
        <v>28</v>
      </c>
      <c r="C110" s="1" t="s">
        <v>34</v>
      </c>
      <c r="D110" s="2">
        <v>236</v>
      </c>
      <c r="E110" s="2">
        <v>0.41455715894699097</v>
      </c>
    </row>
    <row r="111" spans="1:5" x14ac:dyDescent="0.25">
      <c r="A111" s="1" t="str">
        <f t="shared" si="7"/>
        <v>NOR55-64</v>
      </c>
      <c r="B111" s="1" t="s">
        <v>28</v>
      </c>
      <c r="C111" s="1" t="s">
        <v>35</v>
      </c>
      <c r="D111" s="2">
        <v>172</v>
      </c>
      <c r="E111" s="2">
        <v>0.30253684520721436</v>
      </c>
    </row>
    <row r="112" spans="1:5" x14ac:dyDescent="0.25">
      <c r="A112" s="1" t="str">
        <f t="shared" si="7"/>
        <v>POL18-24</v>
      </c>
      <c r="B112" s="1" t="s">
        <v>29</v>
      </c>
      <c r="C112" s="1" t="s">
        <v>31</v>
      </c>
      <c r="D112" s="2">
        <v>135</v>
      </c>
      <c r="E112" s="2">
        <v>0.56744807958602905</v>
      </c>
    </row>
    <row r="113" spans="1:5" x14ac:dyDescent="0.25">
      <c r="A113" s="1" t="str">
        <f t="shared" si="7"/>
        <v>POL25-34</v>
      </c>
      <c r="B113" s="1" t="s">
        <v>29</v>
      </c>
      <c r="C113" s="1" t="s">
        <v>32</v>
      </c>
      <c r="D113" s="2">
        <v>237</v>
      </c>
      <c r="E113" s="2">
        <v>0.45234140753746033</v>
      </c>
    </row>
    <row r="114" spans="1:5" x14ac:dyDescent="0.25">
      <c r="A114" s="1" t="str">
        <f t="shared" si="7"/>
        <v>POL35-44</v>
      </c>
      <c r="B114" s="1" t="s">
        <v>29</v>
      </c>
      <c r="C114" s="1" t="s">
        <v>33</v>
      </c>
      <c r="D114" s="2">
        <v>252</v>
      </c>
      <c r="E114" s="2">
        <v>0.46655911207199097</v>
      </c>
    </row>
    <row r="115" spans="1:5" x14ac:dyDescent="0.25">
      <c r="A115" s="1" t="str">
        <f t="shared" si="7"/>
        <v>POL45-54</v>
      </c>
      <c r="B115" s="1" t="s">
        <v>29</v>
      </c>
      <c r="C115" s="1" t="s">
        <v>34</v>
      </c>
      <c r="D115" s="2">
        <v>196</v>
      </c>
      <c r="E115" s="2">
        <v>0.39365696907043457</v>
      </c>
    </row>
    <row r="116" spans="1:5" x14ac:dyDescent="0.25">
      <c r="A116" s="1" t="str">
        <f t="shared" si="7"/>
        <v>POL55-64</v>
      </c>
      <c r="B116" s="1" t="s">
        <v>29</v>
      </c>
      <c r="C116" s="1" t="s">
        <v>35</v>
      </c>
      <c r="D116" s="2">
        <v>233</v>
      </c>
      <c r="E116" s="2">
        <v>0.35452410578727722</v>
      </c>
    </row>
    <row r="117" spans="1:5" x14ac:dyDescent="0.25">
      <c r="A117" s="1" t="str">
        <f t="shared" si="7"/>
        <v>PRT18-24</v>
      </c>
      <c r="B117" s="1" t="s">
        <v>13</v>
      </c>
      <c r="C117" s="1" t="s">
        <v>31</v>
      </c>
      <c r="D117" s="2">
        <v>137</v>
      </c>
      <c r="E117" s="2">
        <v>0.82782328128814697</v>
      </c>
    </row>
    <row r="118" spans="1:5" x14ac:dyDescent="0.25">
      <c r="A118" s="1" t="str">
        <f t="shared" si="7"/>
        <v>PRT25-34</v>
      </c>
      <c r="B118" s="1" t="s">
        <v>13</v>
      </c>
      <c r="C118" s="1" t="s">
        <v>32</v>
      </c>
      <c r="D118" s="2">
        <v>167</v>
      </c>
      <c r="E118" s="2">
        <v>0.77618759870529175</v>
      </c>
    </row>
    <row r="119" spans="1:5" x14ac:dyDescent="0.25">
      <c r="A119" s="1" t="str">
        <f t="shared" si="7"/>
        <v>PRT35-44</v>
      </c>
      <c r="B119" s="1" t="s">
        <v>13</v>
      </c>
      <c r="C119" s="1" t="s">
        <v>33</v>
      </c>
      <c r="D119" s="2">
        <v>210</v>
      </c>
      <c r="E119" s="2">
        <v>0.71319490671157837</v>
      </c>
    </row>
    <row r="120" spans="1:5" x14ac:dyDescent="0.25">
      <c r="A120" s="1" t="str">
        <f t="shared" si="7"/>
        <v>PRT45-54</v>
      </c>
      <c r="B120" s="1" t="s">
        <v>13</v>
      </c>
      <c r="C120" s="1" t="s">
        <v>34</v>
      </c>
      <c r="D120" s="2">
        <v>257</v>
      </c>
      <c r="E120" s="2">
        <v>0.66558998823165894</v>
      </c>
    </row>
    <row r="121" spans="1:5" x14ac:dyDescent="0.25">
      <c r="A121" s="1" t="str">
        <f t="shared" si="7"/>
        <v>PRT55-64</v>
      </c>
      <c r="B121" s="1" t="s">
        <v>13</v>
      </c>
      <c r="C121" s="1" t="s">
        <v>35</v>
      </c>
      <c r="D121" s="2">
        <v>245</v>
      </c>
      <c r="E121" s="2">
        <v>0.48718124628067017</v>
      </c>
    </row>
    <row r="122" spans="1:5" x14ac:dyDescent="0.25">
      <c r="A122" s="1" t="str">
        <f t="shared" si="7"/>
        <v>SVN18-24</v>
      </c>
      <c r="B122" s="1" t="s">
        <v>27</v>
      </c>
      <c r="C122" s="1" t="s">
        <v>31</v>
      </c>
      <c r="D122" s="2">
        <v>146</v>
      </c>
      <c r="E122" s="2">
        <v>0.49403145909309387</v>
      </c>
    </row>
    <row r="123" spans="1:5" x14ac:dyDescent="0.25">
      <c r="A123" s="1" t="str">
        <f t="shared" si="7"/>
        <v>SVN25-34</v>
      </c>
      <c r="B123" s="1" t="s">
        <v>27</v>
      </c>
      <c r="C123" s="1" t="s">
        <v>32</v>
      </c>
      <c r="D123" s="2">
        <v>226</v>
      </c>
      <c r="E123" s="2">
        <v>0.51437085866928101</v>
      </c>
    </row>
    <row r="124" spans="1:5" x14ac:dyDescent="0.25">
      <c r="A124" s="1" t="str">
        <f t="shared" si="7"/>
        <v>SVN35-44</v>
      </c>
      <c r="B124" s="1" t="s">
        <v>27</v>
      </c>
      <c r="C124" s="1" t="s">
        <v>33</v>
      </c>
      <c r="D124" s="2">
        <v>269</v>
      </c>
      <c r="E124" s="2">
        <v>0.41807225346565247</v>
      </c>
    </row>
    <row r="125" spans="1:5" x14ac:dyDescent="0.25">
      <c r="A125" s="1" t="str">
        <f t="shared" si="7"/>
        <v>SVN45-54</v>
      </c>
      <c r="B125" s="1" t="s">
        <v>27</v>
      </c>
      <c r="C125" s="1" t="s">
        <v>34</v>
      </c>
      <c r="D125" s="2">
        <v>187</v>
      </c>
      <c r="E125" s="2">
        <v>0.43064939975738525</v>
      </c>
    </row>
    <row r="126" spans="1:5" x14ac:dyDescent="0.25">
      <c r="A126" s="1" t="str">
        <f t="shared" si="7"/>
        <v>SVN55-64</v>
      </c>
      <c r="B126" s="1" t="s">
        <v>27</v>
      </c>
      <c r="C126" s="1" t="s">
        <v>35</v>
      </c>
      <c r="D126" s="2">
        <v>178</v>
      </c>
      <c r="E126" s="2">
        <v>0.47977113723754883</v>
      </c>
    </row>
    <row r="127" spans="1:5" x14ac:dyDescent="0.25">
      <c r="A127" s="1" t="str">
        <f t="shared" si="7"/>
        <v>TUR18-24</v>
      </c>
      <c r="B127" s="1" t="s">
        <v>11</v>
      </c>
      <c r="C127" s="1" t="s">
        <v>31</v>
      </c>
      <c r="D127" s="2">
        <v>198</v>
      </c>
      <c r="E127" s="2">
        <v>0.66551834344863892</v>
      </c>
    </row>
    <row r="128" spans="1:5" x14ac:dyDescent="0.25">
      <c r="A128" s="1" t="str">
        <f t="shared" si="7"/>
        <v>TUR25-34</v>
      </c>
      <c r="B128" s="1" t="s">
        <v>11</v>
      </c>
      <c r="C128" s="1" t="s">
        <v>32</v>
      </c>
      <c r="D128" s="2">
        <v>252</v>
      </c>
      <c r="E128" s="2">
        <v>0.7005811333656311</v>
      </c>
    </row>
    <row r="129" spans="1:5" x14ac:dyDescent="0.25">
      <c r="A129" s="1" t="str">
        <f t="shared" si="7"/>
        <v>TUR35-44</v>
      </c>
      <c r="B129" s="1" t="s">
        <v>11</v>
      </c>
      <c r="C129" s="1" t="s">
        <v>33</v>
      </c>
      <c r="D129" s="2">
        <v>212</v>
      </c>
      <c r="E129" s="2">
        <v>0.65847176313400269</v>
      </c>
    </row>
    <row r="130" spans="1:5" x14ac:dyDescent="0.25">
      <c r="A130" s="1" t="str">
        <f t="shared" si="7"/>
        <v>TUR45-54</v>
      </c>
      <c r="B130" s="1" t="s">
        <v>11</v>
      </c>
      <c r="C130" s="1" t="s">
        <v>34</v>
      </c>
      <c r="D130" s="2">
        <v>206</v>
      </c>
      <c r="E130" s="2">
        <v>0.71126490831375122</v>
      </c>
    </row>
    <row r="131" spans="1:5" x14ac:dyDescent="0.25">
      <c r="A131" s="1" t="str">
        <f t="shared" ref="A131:A194" si="8">B131&amp;C131</f>
        <v>TUR55-64</v>
      </c>
      <c r="B131" s="1" t="s">
        <v>11</v>
      </c>
      <c r="C131" s="1" t="s">
        <v>35</v>
      </c>
      <c r="D131" s="2">
        <v>156</v>
      </c>
      <c r="E131" s="2">
        <v>0.75896626710891724</v>
      </c>
    </row>
    <row r="132" spans="1:5" x14ac:dyDescent="0.25">
      <c r="A132" s="1" t="str">
        <f t="shared" si="8"/>
        <v>USA18-24</v>
      </c>
      <c r="B132" s="1" t="s">
        <v>25</v>
      </c>
      <c r="C132" s="1" t="s">
        <v>31</v>
      </c>
      <c r="D132" s="2">
        <v>167</v>
      </c>
      <c r="E132" s="2">
        <v>0.72044157981872559</v>
      </c>
    </row>
    <row r="133" spans="1:5" x14ac:dyDescent="0.25">
      <c r="A133" s="1" t="str">
        <f t="shared" si="8"/>
        <v>USA25-34</v>
      </c>
      <c r="B133" s="1" t="s">
        <v>25</v>
      </c>
      <c r="C133" s="1" t="s">
        <v>32</v>
      </c>
      <c r="D133" s="2">
        <v>188</v>
      </c>
      <c r="E133" s="2">
        <v>0.57083034515380859</v>
      </c>
    </row>
    <row r="134" spans="1:5" x14ac:dyDescent="0.25">
      <c r="A134" s="1" t="str">
        <f t="shared" si="8"/>
        <v>USA35-44</v>
      </c>
      <c r="B134" s="1" t="s">
        <v>25</v>
      </c>
      <c r="C134" s="1" t="s">
        <v>33</v>
      </c>
      <c r="D134" s="2">
        <v>229</v>
      </c>
      <c r="E134" s="2">
        <v>0.51308983564376831</v>
      </c>
    </row>
    <row r="135" spans="1:5" x14ac:dyDescent="0.25">
      <c r="A135" s="1" t="str">
        <f t="shared" si="8"/>
        <v>USA45-54</v>
      </c>
      <c r="B135" s="1" t="s">
        <v>25</v>
      </c>
      <c r="C135" s="1" t="s">
        <v>34</v>
      </c>
      <c r="D135" s="2">
        <v>222</v>
      </c>
      <c r="E135" s="2">
        <v>0.42831453680992126</v>
      </c>
    </row>
    <row r="136" spans="1:5" x14ac:dyDescent="0.25">
      <c r="A136" s="1" t="str">
        <f t="shared" si="8"/>
        <v>USA55-64</v>
      </c>
      <c r="B136" s="1" t="s">
        <v>25</v>
      </c>
      <c r="C136" s="1" t="s">
        <v>35</v>
      </c>
      <c r="D136" s="2">
        <v>242</v>
      </c>
      <c r="E136" s="2">
        <v>0.32413184642791748</v>
      </c>
    </row>
    <row r="137" spans="1:5" x14ac:dyDescent="0.25">
      <c r="A137" s="1" t="str">
        <f t="shared" si="8"/>
        <v/>
      </c>
    </row>
    <row r="138" spans="1:5" x14ac:dyDescent="0.25">
      <c r="A138" s="1" t="str">
        <f t="shared" si="8"/>
        <v/>
      </c>
    </row>
    <row r="139" spans="1:5" x14ac:dyDescent="0.25">
      <c r="A139" s="1" t="str">
        <f t="shared" si="8"/>
        <v/>
      </c>
    </row>
    <row r="140" spans="1:5" x14ac:dyDescent="0.25">
      <c r="A140" s="1" t="str">
        <f t="shared" si="8"/>
        <v/>
      </c>
    </row>
    <row r="141" spans="1:5" x14ac:dyDescent="0.25">
      <c r="A141" s="1" t="str">
        <f t="shared" si="8"/>
        <v/>
      </c>
    </row>
    <row r="142" spans="1:5" x14ac:dyDescent="0.25">
      <c r="A142" s="1" t="str">
        <f t="shared" si="8"/>
        <v/>
      </c>
    </row>
    <row r="143" spans="1:5" x14ac:dyDescent="0.25">
      <c r="A143" s="1" t="str">
        <f t="shared" si="8"/>
        <v/>
      </c>
    </row>
    <row r="144" spans="1:5" x14ac:dyDescent="0.25">
      <c r="A144" s="1" t="str">
        <f t="shared" si="8"/>
        <v/>
      </c>
    </row>
    <row r="145" spans="1:1" x14ac:dyDescent="0.25">
      <c r="A145" s="1" t="str">
        <f t="shared" si="8"/>
        <v/>
      </c>
    </row>
    <row r="146" spans="1:1" x14ac:dyDescent="0.25">
      <c r="A146" s="1" t="str">
        <f t="shared" si="8"/>
        <v/>
      </c>
    </row>
    <row r="147" spans="1:1" x14ac:dyDescent="0.25">
      <c r="A147" s="1" t="str">
        <f t="shared" si="8"/>
        <v/>
      </c>
    </row>
    <row r="148" spans="1:1" x14ac:dyDescent="0.25">
      <c r="A148" s="1" t="str">
        <f t="shared" si="8"/>
        <v/>
      </c>
    </row>
    <row r="149" spans="1:1" x14ac:dyDescent="0.25">
      <c r="A149" s="1" t="str">
        <f t="shared" si="8"/>
        <v/>
      </c>
    </row>
    <row r="150" spans="1:1" x14ac:dyDescent="0.25">
      <c r="A150" s="1" t="str">
        <f t="shared" si="8"/>
        <v/>
      </c>
    </row>
    <row r="151" spans="1:1" x14ac:dyDescent="0.25">
      <c r="A151" s="1" t="str">
        <f t="shared" si="8"/>
        <v/>
      </c>
    </row>
    <row r="152" spans="1:1" x14ac:dyDescent="0.25">
      <c r="A152" s="1" t="str">
        <f t="shared" si="8"/>
        <v/>
      </c>
    </row>
    <row r="153" spans="1:1" x14ac:dyDescent="0.25">
      <c r="A153" s="1" t="str">
        <f t="shared" si="8"/>
        <v/>
      </c>
    </row>
    <row r="154" spans="1:1" x14ac:dyDescent="0.25">
      <c r="A154" s="1" t="str">
        <f t="shared" si="8"/>
        <v/>
      </c>
    </row>
    <row r="155" spans="1:1" x14ac:dyDescent="0.25">
      <c r="A155" s="1" t="str">
        <f t="shared" si="8"/>
        <v/>
      </c>
    </row>
    <row r="156" spans="1:1" x14ac:dyDescent="0.25">
      <c r="A156" s="1" t="str">
        <f t="shared" si="8"/>
        <v/>
      </c>
    </row>
    <row r="157" spans="1:1" x14ac:dyDescent="0.25">
      <c r="A157" s="1" t="str">
        <f t="shared" si="8"/>
        <v/>
      </c>
    </row>
    <row r="158" spans="1:1" x14ac:dyDescent="0.25">
      <c r="A158" s="1" t="str">
        <f t="shared" si="8"/>
        <v/>
      </c>
    </row>
    <row r="159" spans="1:1" x14ac:dyDescent="0.25">
      <c r="A159" s="1" t="str">
        <f t="shared" si="8"/>
        <v/>
      </c>
    </row>
    <row r="160" spans="1:1" x14ac:dyDescent="0.25">
      <c r="A160" s="1" t="str">
        <f t="shared" si="8"/>
        <v/>
      </c>
    </row>
    <row r="161" spans="1:1" x14ac:dyDescent="0.25">
      <c r="A161" s="1" t="str">
        <f t="shared" si="8"/>
        <v/>
      </c>
    </row>
    <row r="162" spans="1:1" x14ac:dyDescent="0.25">
      <c r="A162" s="1" t="str">
        <f t="shared" si="8"/>
        <v/>
      </c>
    </row>
    <row r="163" spans="1:1" x14ac:dyDescent="0.25">
      <c r="A163" s="1" t="str">
        <f t="shared" si="8"/>
        <v/>
      </c>
    </row>
    <row r="164" spans="1:1" x14ac:dyDescent="0.25">
      <c r="A164" s="1" t="str">
        <f t="shared" si="8"/>
        <v/>
      </c>
    </row>
    <row r="165" spans="1:1" x14ac:dyDescent="0.25">
      <c r="A165" s="1" t="str">
        <f t="shared" si="8"/>
        <v/>
      </c>
    </row>
    <row r="166" spans="1:1" x14ac:dyDescent="0.25">
      <c r="A166" s="1" t="str">
        <f t="shared" si="8"/>
        <v/>
      </c>
    </row>
    <row r="167" spans="1:1" x14ac:dyDescent="0.25">
      <c r="A167" s="1" t="str">
        <f t="shared" si="8"/>
        <v/>
      </c>
    </row>
    <row r="168" spans="1:1" x14ac:dyDescent="0.25">
      <c r="A168" s="1" t="str">
        <f t="shared" si="8"/>
        <v/>
      </c>
    </row>
    <row r="169" spans="1:1" x14ac:dyDescent="0.25">
      <c r="A169" s="1" t="str">
        <f t="shared" si="8"/>
        <v/>
      </c>
    </row>
    <row r="170" spans="1:1" x14ac:dyDescent="0.25">
      <c r="A170" s="1" t="str">
        <f t="shared" si="8"/>
        <v/>
      </c>
    </row>
    <row r="171" spans="1:1" x14ac:dyDescent="0.25">
      <c r="A171" s="1" t="str">
        <f t="shared" si="8"/>
        <v/>
      </c>
    </row>
    <row r="172" spans="1:1" x14ac:dyDescent="0.25">
      <c r="A172" s="1" t="str">
        <f t="shared" si="8"/>
        <v/>
      </c>
    </row>
    <row r="173" spans="1:1" x14ac:dyDescent="0.25">
      <c r="A173" s="1" t="str">
        <f t="shared" si="8"/>
        <v/>
      </c>
    </row>
    <row r="174" spans="1:1" x14ac:dyDescent="0.25">
      <c r="A174" s="1" t="str">
        <f t="shared" si="8"/>
        <v/>
      </c>
    </row>
    <row r="175" spans="1:1" x14ac:dyDescent="0.25">
      <c r="A175" s="1" t="str">
        <f t="shared" si="8"/>
        <v/>
      </c>
    </row>
    <row r="176" spans="1:1" x14ac:dyDescent="0.25">
      <c r="A176" s="1" t="str">
        <f t="shared" si="8"/>
        <v/>
      </c>
    </row>
    <row r="177" spans="1:1" x14ac:dyDescent="0.25">
      <c r="A177" s="1" t="str">
        <f t="shared" si="8"/>
        <v/>
      </c>
    </row>
    <row r="178" spans="1:1" x14ac:dyDescent="0.25">
      <c r="A178" s="1" t="str">
        <f t="shared" si="8"/>
        <v/>
      </c>
    </row>
    <row r="179" spans="1:1" x14ac:dyDescent="0.25">
      <c r="A179" s="1" t="str">
        <f t="shared" si="8"/>
        <v/>
      </c>
    </row>
    <row r="180" spans="1:1" x14ac:dyDescent="0.25">
      <c r="A180" s="1" t="str">
        <f t="shared" si="8"/>
        <v/>
      </c>
    </row>
    <row r="181" spans="1:1" x14ac:dyDescent="0.25">
      <c r="A181" s="1" t="str">
        <f t="shared" si="8"/>
        <v/>
      </c>
    </row>
    <row r="182" spans="1:1" x14ac:dyDescent="0.25">
      <c r="A182" s="1" t="str">
        <f t="shared" si="8"/>
        <v/>
      </c>
    </row>
    <row r="183" spans="1:1" x14ac:dyDescent="0.25">
      <c r="A183" s="1" t="str">
        <f t="shared" si="8"/>
        <v/>
      </c>
    </row>
    <row r="184" spans="1:1" x14ac:dyDescent="0.25">
      <c r="A184" s="1" t="str">
        <f t="shared" si="8"/>
        <v/>
      </c>
    </row>
    <row r="185" spans="1:1" x14ac:dyDescent="0.25">
      <c r="A185" s="1" t="str">
        <f t="shared" si="8"/>
        <v/>
      </c>
    </row>
    <row r="186" spans="1:1" x14ac:dyDescent="0.25">
      <c r="A186" s="1" t="str">
        <f t="shared" si="8"/>
        <v/>
      </c>
    </row>
    <row r="187" spans="1:1" x14ac:dyDescent="0.25">
      <c r="A187" s="1" t="str">
        <f t="shared" si="8"/>
        <v/>
      </c>
    </row>
    <row r="188" spans="1:1" x14ac:dyDescent="0.25">
      <c r="A188" s="1" t="str">
        <f t="shared" si="8"/>
        <v/>
      </c>
    </row>
    <row r="189" spans="1:1" x14ac:dyDescent="0.25">
      <c r="A189" s="1" t="str">
        <f t="shared" si="8"/>
        <v/>
      </c>
    </row>
    <row r="190" spans="1:1" x14ac:dyDescent="0.25">
      <c r="A190" s="1" t="str">
        <f t="shared" si="8"/>
        <v/>
      </c>
    </row>
    <row r="191" spans="1:1" x14ac:dyDescent="0.25">
      <c r="A191" s="1" t="str">
        <f t="shared" si="8"/>
        <v/>
      </c>
    </row>
    <row r="192" spans="1:1" x14ac:dyDescent="0.25">
      <c r="A192" s="1" t="str">
        <f t="shared" si="8"/>
        <v/>
      </c>
    </row>
    <row r="193" spans="1:1" x14ac:dyDescent="0.25">
      <c r="A193" s="1" t="str">
        <f t="shared" si="8"/>
        <v/>
      </c>
    </row>
    <row r="194" spans="1:1" x14ac:dyDescent="0.25">
      <c r="A194" s="1" t="str">
        <f t="shared" si="8"/>
        <v/>
      </c>
    </row>
    <row r="195" spans="1:1" x14ac:dyDescent="0.25">
      <c r="A195" s="1" t="str">
        <f t="shared" ref="A195:A258" si="9">B195&amp;C195</f>
        <v/>
      </c>
    </row>
    <row r="196" spans="1:1" x14ac:dyDescent="0.25">
      <c r="A196" s="1" t="str">
        <f t="shared" si="9"/>
        <v/>
      </c>
    </row>
    <row r="197" spans="1:1" x14ac:dyDescent="0.25">
      <c r="A197" s="1" t="str">
        <f t="shared" si="9"/>
        <v/>
      </c>
    </row>
    <row r="198" spans="1:1" x14ac:dyDescent="0.25">
      <c r="A198" s="1" t="str">
        <f t="shared" si="9"/>
        <v/>
      </c>
    </row>
    <row r="199" spans="1:1" x14ac:dyDescent="0.25">
      <c r="A199" s="1" t="str">
        <f t="shared" si="9"/>
        <v/>
      </c>
    </row>
    <row r="200" spans="1:1" x14ac:dyDescent="0.25">
      <c r="A200" s="1" t="str">
        <f t="shared" si="9"/>
        <v/>
      </c>
    </row>
    <row r="201" spans="1:1" x14ac:dyDescent="0.25">
      <c r="A201" s="1" t="str">
        <f t="shared" si="9"/>
        <v/>
      </c>
    </row>
    <row r="202" spans="1:1" x14ac:dyDescent="0.25">
      <c r="A202" s="1" t="str">
        <f t="shared" si="9"/>
        <v/>
      </c>
    </row>
    <row r="203" spans="1:1" x14ac:dyDescent="0.25">
      <c r="A203" s="1" t="str">
        <f t="shared" si="9"/>
        <v/>
      </c>
    </row>
    <row r="204" spans="1:1" x14ac:dyDescent="0.25">
      <c r="A204" s="1" t="str">
        <f t="shared" si="9"/>
        <v/>
      </c>
    </row>
    <row r="205" spans="1:1" x14ac:dyDescent="0.25">
      <c r="A205" s="1" t="str">
        <f t="shared" si="9"/>
        <v/>
      </c>
    </row>
    <row r="206" spans="1:1" x14ac:dyDescent="0.25">
      <c r="A206" s="1" t="str">
        <f t="shared" si="9"/>
        <v/>
      </c>
    </row>
    <row r="207" spans="1:1" x14ac:dyDescent="0.25">
      <c r="A207" s="1" t="str">
        <f t="shared" si="9"/>
        <v/>
      </c>
    </row>
    <row r="208" spans="1:1" x14ac:dyDescent="0.25">
      <c r="A208" s="1" t="str">
        <f t="shared" si="9"/>
        <v/>
      </c>
    </row>
    <row r="209" spans="1:1" x14ac:dyDescent="0.25">
      <c r="A209" s="1" t="str">
        <f t="shared" si="9"/>
        <v/>
      </c>
    </row>
    <row r="210" spans="1:1" x14ac:dyDescent="0.25">
      <c r="A210" s="1" t="str">
        <f t="shared" si="9"/>
        <v/>
      </c>
    </row>
    <row r="211" spans="1:1" x14ac:dyDescent="0.25">
      <c r="A211" s="1" t="str">
        <f t="shared" si="9"/>
        <v/>
      </c>
    </row>
    <row r="212" spans="1:1" x14ac:dyDescent="0.25">
      <c r="A212" s="1" t="str">
        <f t="shared" si="9"/>
        <v/>
      </c>
    </row>
    <row r="213" spans="1:1" x14ac:dyDescent="0.25">
      <c r="A213" s="1" t="str">
        <f t="shared" si="9"/>
        <v/>
      </c>
    </row>
    <row r="214" spans="1:1" x14ac:dyDescent="0.25">
      <c r="A214" s="1" t="str">
        <f t="shared" si="9"/>
        <v/>
      </c>
    </row>
    <row r="215" spans="1:1" x14ac:dyDescent="0.25">
      <c r="A215" s="1" t="str">
        <f t="shared" si="9"/>
        <v/>
      </c>
    </row>
    <row r="216" spans="1:1" x14ac:dyDescent="0.25">
      <c r="A216" s="1" t="str">
        <f t="shared" si="9"/>
        <v/>
      </c>
    </row>
    <row r="217" spans="1:1" x14ac:dyDescent="0.25">
      <c r="A217" s="1" t="str">
        <f t="shared" si="9"/>
        <v/>
      </c>
    </row>
    <row r="218" spans="1:1" x14ac:dyDescent="0.25">
      <c r="A218" s="1" t="str">
        <f t="shared" si="9"/>
        <v/>
      </c>
    </row>
    <row r="219" spans="1:1" x14ac:dyDescent="0.25">
      <c r="A219" s="1" t="str">
        <f t="shared" si="9"/>
        <v/>
      </c>
    </row>
    <row r="220" spans="1:1" x14ac:dyDescent="0.25">
      <c r="A220" s="1" t="str">
        <f t="shared" si="9"/>
        <v/>
      </c>
    </row>
    <row r="221" spans="1:1" x14ac:dyDescent="0.25">
      <c r="A221" s="1" t="str">
        <f t="shared" si="9"/>
        <v/>
      </c>
    </row>
    <row r="222" spans="1:1" x14ac:dyDescent="0.25">
      <c r="A222" s="1" t="str">
        <f t="shared" si="9"/>
        <v/>
      </c>
    </row>
    <row r="223" spans="1:1" x14ac:dyDescent="0.25">
      <c r="A223" s="1" t="str">
        <f t="shared" si="9"/>
        <v/>
      </c>
    </row>
    <row r="224" spans="1:1" x14ac:dyDescent="0.25">
      <c r="A224" s="1" t="str">
        <f t="shared" si="9"/>
        <v/>
      </c>
    </row>
    <row r="225" spans="1:1" x14ac:dyDescent="0.25">
      <c r="A225" s="1" t="str">
        <f t="shared" si="9"/>
        <v/>
      </c>
    </row>
    <row r="226" spans="1:1" x14ac:dyDescent="0.25">
      <c r="A226" s="1" t="str">
        <f t="shared" si="9"/>
        <v/>
      </c>
    </row>
    <row r="227" spans="1:1" x14ac:dyDescent="0.25">
      <c r="A227" s="1" t="str">
        <f t="shared" si="9"/>
        <v/>
      </c>
    </row>
    <row r="228" spans="1:1" x14ac:dyDescent="0.25">
      <c r="A228" s="1" t="str">
        <f t="shared" si="9"/>
        <v/>
      </c>
    </row>
    <row r="229" spans="1:1" x14ac:dyDescent="0.25">
      <c r="A229" s="1" t="str">
        <f t="shared" si="9"/>
        <v/>
      </c>
    </row>
    <row r="230" spans="1:1" x14ac:dyDescent="0.25">
      <c r="A230" s="1" t="str">
        <f t="shared" si="9"/>
        <v/>
      </c>
    </row>
    <row r="231" spans="1:1" x14ac:dyDescent="0.25">
      <c r="A231" s="1" t="str">
        <f t="shared" si="9"/>
        <v/>
      </c>
    </row>
    <row r="232" spans="1:1" x14ac:dyDescent="0.25">
      <c r="A232" s="1" t="str">
        <f t="shared" si="9"/>
        <v/>
      </c>
    </row>
    <row r="233" spans="1:1" x14ac:dyDescent="0.25">
      <c r="A233" s="1" t="str">
        <f t="shared" si="9"/>
        <v/>
      </c>
    </row>
    <row r="234" spans="1:1" x14ac:dyDescent="0.25">
      <c r="A234" s="1" t="str">
        <f t="shared" si="9"/>
        <v/>
      </c>
    </row>
    <row r="235" spans="1:1" x14ac:dyDescent="0.25">
      <c r="A235" s="1" t="str">
        <f t="shared" si="9"/>
        <v/>
      </c>
    </row>
    <row r="236" spans="1:1" x14ac:dyDescent="0.25">
      <c r="A236" s="1" t="str">
        <f t="shared" si="9"/>
        <v/>
      </c>
    </row>
    <row r="237" spans="1:1" x14ac:dyDescent="0.25">
      <c r="A237" s="1" t="str">
        <f t="shared" si="9"/>
        <v/>
      </c>
    </row>
    <row r="238" spans="1:1" x14ac:dyDescent="0.25">
      <c r="A238" s="1" t="str">
        <f t="shared" si="9"/>
        <v/>
      </c>
    </row>
    <row r="239" spans="1:1" x14ac:dyDescent="0.25">
      <c r="A239" s="1" t="str">
        <f t="shared" si="9"/>
        <v/>
      </c>
    </row>
    <row r="240" spans="1:1" x14ac:dyDescent="0.25">
      <c r="A240" s="1" t="str">
        <f t="shared" si="9"/>
        <v/>
      </c>
    </row>
    <row r="241" spans="1:1" x14ac:dyDescent="0.25">
      <c r="A241" s="1" t="str">
        <f t="shared" si="9"/>
        <v/>
      </c>
    </row>
    <row r="242" spans="1:1" x14ac:dyDescent="0.25">
      <c r="A242" s="1" t="str">
        <f t="shared" si="9"/>
        <v/>
      </c>
    </row>
    <row r="243" spans="1:1" x14ac:dyDescent="0.25">
      <c r="A243" s="1" t="str">
        <f t="shared" si="9"/>
        <v/>
      </c>
    </row>
    <row r="244" spans="1:1" x14ac:dyDescent="0.25">
      <c r="A244" s="1" t="str">
        <f t="shared" si="9"/>
        <v/>
      </c>
    </row>
    <row r="245" spans="1:1" x14ac:dyDescent="0.25">
      <c r="A245" s="1" t="str">
        <f t="shared" si="9"/>
        <v/>
      </c>
    </row>
    <row r="246" spans="1:1" x14ac:dyDescent="0.25">
      <c r="A246" s="1" t="str">
        <f t="shared" si="9"/>
        <v/>
      </c>
    </row>
    <row r="247" spans="1:1" x14ac:dyDescent="0.25">
      <c r="A247" s="1" t="str">
        <f t="shared" si="9"/>
        <v/>
      </c>
    </row>
    <row r="248" spans="1:1" x14ac:dyDescent="0.25">
      <c r="A248" s="1" t="str">
        <f t="shared" si="9"/>
        <v/>
      </c>
    </row>
    <row r="249" spans="1:1" x14ac:dyDescent="0.25">
      <c r="A249" s="1" t="str">
        <f t="shared" si="9"/>
        <v/>
      </c>
    </row>
    <row r="250" spans="1:1" x14ac:dyDescent="0.25">
      <c r="A250" s="1" t="str">
        <f t="shared" si="9"/>
        <v/>
      </c>
    </row>
    <row r="251" spans="1:1" x14ac:dyDescent="0.25">
      <c r="A251" s="1" t="str">
        <f t="shared" si="9"/>
        <v/>
      </c>
    </row>
    <row r="252" spans="1:1" x14ac:dyDescent="0.25">
      <c r="A252" s="1" t="str">
        <f t="shared" si="9"/>
        <v/>
      </c>
    </row>
    <row r="253" spans="1:1" x14ac:dyDescent="0.25">
      <c r="A253" s="1" t="str">
        <f t="shared" si="9"/>
        <v/>
      </c>
    </row>
    <row r="254" spans="1:1" x14ac:dyDescent="0.25">
      <c r="A254" s="1" t="str">
        <f t="shared" si="9"/>
        <v/>
      </c>
    </row>
    <row r="255" spans="1:1" x14ac:dyDescent="0.25">
      <c r="A255" s="1" t="str">
        <f t="shared" si="9"/>
        <v/>
      </c>
    </row>
    <row r="256" spans="1:1" x14ac:dyDescent="0.25">
      <c r="A256" s="1" t="str">
        <f t="shared" si="9"/>
        <v/>
      </c>
    </row>
    <row r="257" spans="1:1" x14ac:dyDescent="0.25">
      <c r="A257" s="1" t="str">
        <f t="shared" si="9"/>
        <v/>
      </c>
    </row>
    <row r="258" spans="1:1" x14ac:dyDescent="0.25">
      <c r="A258" s="1" t="str">
        <f t="shared" si="9"/>
        <v/>
      </c>
    </row>
    <row r="259" spans="1:1" x14ac:dyDescent="0.25">
      <c r="A259" s="1" t="str">
        <f t="shared" ref="A259:A322" si="10">B259&amp;C259</f>
        <v/>
      </c>
    </row>
    <row r="260" spans="1:1" x14ac:dyDescent="0.25">
      <c r="A260" s="1" t="str">
        <f t="shared" si="10"/>
        <v/>
      </c>
    </row>
    <row r="261" spans="1:1" x14ac:dyDescent="0.25">
      <c r="A261" s="1" t="str">
        <f t="shared" si="10"/>
        <v/>
      </c>
    </row>
    <row r="262" spans="1:1" x14ac:dyDescent="0.25">
      <c r="A262" s="1" t="str">
        <f t="shared" si="10"/>
        <v/>
      </c>
    </row>
    <row r="263" spans="1:1" x14ac:dyDescent="0.25">
      <c r="A263" s="1" t="str">
        <f t="shared" si="10"/>
        <v/>
      </c>
    </row>
    <row r="264" spans="1:1" x14ac:dyDescent="0.25">
      <c r="A264" s="1" t="str">
        <f t="shared" si="10"/>
        <v/>
      </c>
    </row>
    <row r="265" spans="1:1" x14ac:dyDescent="0.25">
      <c r="A265" s="1" t="str">
        <f t="shared" si="10"/>
        <v/>
      </c>
    </row>
    <row r="266" spans="1:1" x14ac:dyDescent="0.25">
      <c r="A266" s="1" t="str">
        <f t="shared" si="10"/>
        <v/>
      </c>
    </row>
    <row r="267" spans="1:1" x14ac:dyDescent="0.25">
      <c r="A267" s="1" t="str">
        <f t="shared" si="10"/>
        <v/>
      </c>
    </row>
    <row r="268" spans="1:1" x14ac:dyDescent="0.25">
      <c r="A268" s="1" t="str">
        <f t="shared" si="10"/>
        <v/>
      </c>
    </row>
    <row r="269" spans="1:1" x14ac:dyDescent="0.25">
      <c r="A269" s="1" t="str">
        <f t="shared" si="10"/>
        <v/>
      </c>
    </row>
    <row r="270" spans="1:1" x14ac:dyDescent="0.25">
      <c r="A270" s="1" t="str">
        <f t="shared" si="10"/>
        <v/>
      </c>
    </row>
    <row r="271" spans="1:1" x14ac:dyDescent="0.25">
      <c r="A271" s="1" t="str">
        <f t="shared" si="10"/>
        <v/>
      </c>
    </row>
    <row r="272" spans="1:1" x14ac:dyDescent="0.25">
      <c r="A272" s="1" t="str">
        <f t="shared" si="10"/>
        <v/>
      </c>
    </row>
    <row r="273" spans="1:1" x14ac:dyDescent="0.25">
      <c r="A273" s="1" t="str">
        <f t="shared" si="10"/>
        <v/>
      </c>
    </row>
    <row r="274" spans="1:1" x14ac:dyDescent="0.25">
      <c r="A274" s="1" t="str">
        <f t="shared" si="10"/>
        <v/>
      </c>
    </row>
    <row r="275" spans="1:1" x14ac:dyDescent="0.25">
      <c r="A275" s="1" t="str">
        <f t="shared" si="10"/>
        <v/>
      </c>
    </row>
    <row r="276" spans="1:1" x14ac:dyDescent="0.25">
      <c r="A276" s="1" t="str">
        <f t="shared" si="10"/>
        <v/>
      </c>
    </row>
    <row r="277" spans="1:1" x14ac:dyDescent="0.25">
      <c r="A277" s="1" t="str">
        <f t="shared" si="10"/>
        <v/>
      </c>
    </row>
    <row r="278" spans="1:1" x14ac:dyDescent="0.25">
      <c r="A278" s="1" t="str">
        <f t="shared" si="10"/>
        <v/>
      </c>
    </row>
    <row r="279" spans="1:1" x14ac:dyDescent="0.25">
      <c r="A279" s="1" t="str">
        <f t="shared" si="10"/>
        <v/>
      </c>
    </row>
    <row r="280" spans="1:1" x14ac:dyDescent="0.25">
      <c r="A280" s="1" t="str">
        <f t="shared" si="10"/>
        <v/>
      </c>
    </row>
    <row r="281" spans="1:1" x14ac:dyDescent="0.25">
      <c r="A281" s="1" t="str">
        <f t="shared" si="10"/>
        <v/>
      </c>
    </row>
    <row r="282" spans="1:1" x14ac:dyDescent="0.25">
      <c r="A282" s="1" t="str">
        <f t="shared" si="10"/>
        <v/>
      </c>
    </row>
    <row r="283" spans="1:1" x14ac:dyDescent="0.25">
      <c r="A283" s="1" t="str">
        <f t="shared" si="10"/>
        <v/>
      </c>
    </row>
    <row r="284" spans="1:1" x14ac:dyDescent="0.25">
      <c r="A284" s="1" t="str">
        <f t="shared" si="10"/>
        <v/>
      </c>
    </row>
    <row r="285" spans="1:1" x14ac:dyDescent="0.25">
      <c r="A285" s="1" t="str">
        <f t="shared" si="10"/>
        <v/>
      </c>
    </row>
    <row r="286" spans="1:1" x14ac:dyDescent="0.25">
      <c r="A286" s="1" t="str">
        <f t="shared" si="10"/>
        <v/>
      </c>
    </row>
    <row r="287" spans="1:1" x14ac:dyDescent="0.25">
      <c r="A287" s="1" t="str">
        <f t="shared" si="10"/>
        <v/>
      </c>
    </row>
    <row r="288" spans="1:1" x14ac:dyDescent="0.25">
      <c r="A288" s="1" t="str">
        <f t="shared" si="10"/>
        <v/>
      </c>
    </row>
    <row r="289" spans="1:1" x14ac:dyDescent="0.25">
      <c r="A289" s="1" t="str">
        <f t="shared" si="10"/>
        <v/>
      </c>
    </row>
    <row r="290" spans="1:1" x14ac:dyDescent="0.25">
      <c r="A290" s="1" t="str">
        <f t="shared" si="10"/>
        <v/>
      </c>
    </row>
    <row r="291" spans="1:1" x14ac:dyDescent="0.25">
      <c r="A291" s="1" t="str">
        <f t="shared" si="10"/>
        <v/>
      </c>
    </row>
    <row r="292" spans="1:1" x14ac:dyDescent="0.25">
      <c r="A292" s="1" t="str">
        <f t="shared" si="10"/>
        <v/>
      </c>
    </row>
    <row r="293" spans="1:1" x14ac:dyDescent="0.25">
      <c r="A293" s="1" t="str">
        <f t="shared" si="10"/>
        <v/>
      </c>
    </row>
    <row r="294" spans="1:1" x14ac:dyDescent="0.25">
      <c r="A294" s="1" t="str">
        <f t="shared" si="10"/>
        <v/>
      </c>
    </row>
    <row r="295" spans="1:1" x14ac:dyDescent="0.25">
      <c r="A295" s="1" t="str">
        <f t="shared" si="10"/>
        <v/>
      </c>
    </row>
    <row r="296" spans="1:1" x14ac:dyDescent="0.25">
      <c r="A296" s="1" t="str">
        <f t="shared" si="10"/>
        <v/>
      </c>
    </row>
    <row r="297" spans="1:1" x14ac:dyDescent="0.25">
      <c r="A297" s="1" t="str">
        <f t="shared" si="10"/>
        <v/>
      </c>
    </row>
    <row r="298" spans="1:1" x14ac:dyDescent="0.25">
      <c r="A298" s="1" t="str">
        <f t="shared" si="10"/>
        <v/>
      </c>
    </row>
    <row r="299" spans="1:1" x14ac:dyDescent="0.25">
      <c r="A299" s="1" t="str">
        <f t="shared" si="10"/>
        <v/>
      </c>
    </row>
    <row r="300" spans="1:1" x14ac:dyDescent="0.25">
      <c r="A300" s="1" t="str">
        <f t="shared" si="10"/>
        <v/>
      </c>
    </row>
    <row r="301" spans="1:1" x14ac:dyDescent="0.25">
      <c r="A301" s="1" t="str">
        <f t="shared" si="10"/>
        <v/>
      </c>
    </row>
    <row r="302" spans="1:1" x14ac:dyDescent="0.25">
      <c r="A302" s="1" t="str">
        <f t="shared" si="10"/>
        <v/>
      </c>
    </row>
    <row r="303" spans="1:1" x14ac:dyDescent="0.25">
      <c r="A303" s="1" t="str">
        <f t="shared" si="10"/>
        <v/>
      </c>
    </row>
    <row r="304" spans="1:1" x14ac:dyDescent="0.25">
      <c r="A304" s="1" t="str">
        <f t="shared" si="10"/>
        <v/>
      </c>
    </row>
    <row r="305" spans="1:1" x14ac:dyDescent="0.25">
      <c r="A305" s="1" t="str">
        <f t="shared" si="10"/>
        <v/>
      </c>
    </row>
    <row r="306" spans="1:1" x14ac:dyDescent="0.25">
      <c r="A306" s="1" t="str">
        <f t="shared" si="10"/>
        <v/>
      </c>
    </row>
    <row r="307" spans="1:1" x14ac:dyDescent="0.25">
      <c r="A307" s="1" t="str">
        <f t="shared" si="10"/>
        <v/>
      </c>
    </row>
    <row r="308" spans="1:1" x14ac:dyDescent="0.25">
      <c r="A308" s="1" t="str">
        <f t="shared" si="10"/>
        <v/>
      </c>
    </row>
    <row r="309" spans="1:1" x14ac:dyDescent="0.25">
      <c r="A309" s="1" t="str">
        <f t="shared" si="10"/>
        <v/>
      </c>
    </row>
    <row r="310" spans="1:1" x14ac:dyDescent="0.25">
      <c r="A310" s="1" t="str">
        <f t="shared" si="10"/>
        <v/>
      </c>
    </row>
    <row r="311" spans="1:1" x14ac:dyDescent="0.25">
      <c r="A311" s="1" t="str">
        <f t="shared" si="10"/>
        <v/>
      </c>
    </row>
    <row r="312" spans="1:1" x14ac:dyDescent="0.25">
      <c r="A312" s="1" t="str">
        <f t="shared" si="10"/>
        <v/>
      </c>
    </row>
    <row r="313" spans="1:1" x14ac:dyDescent="0.25">
      <c r="A313" s="1" t="str">
        <f t="shared" si="10"/>
        <v/>
      </c>
    </row>
    <row r="314" spans="1:1" x14ac:dyDescent="0.25">
      <c r="A314" s="1" t="str">
        <f t="shared" si="10"/>
        <v/>
      </c>
    </row>
    <row r="315" spans="1:1" x14ac:dyDescent="0.25">
      <c r="A315" s="1" t="str">
        <f t="shared" si="10"/>
        <v/>
      </c>
    </row>
    <row r="316" spans="1:1" x14ac:dyDescent="0.25">
      <c r="A316" s="1" t="str">
        <f t="shared" si="10"/>
        <v/>
      </c>
    </row>
    <row r="317" spans="1:1" x14ac:dyDescent="0.25">
      <c r="A317" s="1" t="str">
        <f t="shared" si="10"/>
        <v/>
      </c>
    </row>
    <row r="318" spans="1:1" x14ac:dyDescent="0.25">
      <c r="A318" s="1" t="str">
        <f t="shared" si="10"/>
        <v/>
      </c>
    </row>
    <row r="319" spans="1:1" x14ac:dyDescent="0.25">
      <c r="A319" s="1" t="str">
        <f t="shared" si="10"/>
        <v/>
      </c>
    </row>
    <row r="320" spans="1:1" x14ac:dyDescent="0.25">
      <c r="A320" s="1" t="str">
        <f t="shared" si="10"/>
        <v/>
      </c>
    </row>
    <row r="321" spans="1:1" x14ac:dyDescent="0.25">
      <c r="A321" s="1" t="str">
        <f t="shared" si="10"/>
        <v/>
      </c>
    </row>
    <row r="322" spans="1:1" x14ac:dyDescent="0.25">
      <c r="A322" s="1" t="str">
        <f t="shared" si="10"/>
        <v/>
      </c>
    </row>
    <row r="323" spans="1:1" x14ac:dyDescent="0.25">
      <c r="A323" s="1" t="str">
        <f t="shared" ref="A323:A386" si="11">B323&amp;C323</f>
        <v/>
      </c>
    </row>
    <row r="324" spans="1:1" x14ac:dyDescent="0.25">
      <c r="A324" s="1" t="str">
        <f t="shared" si="11"/>
        <v/>
      </c>
    </row>
    <row r="325" spans="1:1" x14ac:dyDescent="0.25">
      <c r="A325" s="1" t="str">
        <f t="shared" si="11"/>
        <v/>
      </c>
    </row>
    <row r="326" spans="1:1" x14ac:dyDescent="0.25">
      <c r="A326" s="1" t="str">
        <f t="shared" si="11"/>
        <v/>
      </c>
    </row>
    <row r="327" spans="1:1" x14ac:dyDescent="0.25">
      <c r="A327" s="1" t="str">
        <f t="shared" si="11"/>
        <v/>
      </c>
    </row>
    <row r="328" spans="1:1" x14ac:dyDescent="0.25">
      <c r="A328" s="1" t="str">
        <f t="shared" si="11"/>
        <v/>
      </c>
    </row>
    <row r="329" spans="1:1" x14ac:dyDescent="0.25">
      <c r="A329" s="1" t="str">
        <f t="shared" si="11"/>
        <v/>
      </c>
    </row>
    <row r="330" spans="1:1" x14ac:dyDescent="0.25">
      <c r="A330" s="1" t="str">
        <f t="shared" si="11"/>
        <v/>
      </c>
    </row>
    <row r="331" spans="1:1" x14ac:dyDescent="0.25">
      <c r="A331" s="1" t="str">
        <f t="shared" si="11"/>
        <v/>
      </c>
    </row>
    <row r="332" spans="1:1" x14ac:dyDescent="0.25">
      <c r="A332" s="1" t="str">
        <f t="shared" si="11"/>
        <v/>
      </c>
    </row>
    <row r="333" spans="1:1" x14ac:dyDescent="0.25">
      <c r="A333" s="1" t="str">
        <f t="shared" si="11"/>
        <v/>
      </c>
    </row>
    <row r="334" spans="1:1" x14ac:dyDescent="0.25">
      <c r="A334" s="1" t="str">
        <f t="shared" si="11"/>
        <v/>
      </c>
    </row>
    <row r="335" spans="1:1" x14ac:dyDescent="0.25">
      <c r="A335" s="1" t="str">
        <f t="shared" si="11"/>
        <v/>
      </c>
    </row>
    <row r="336" spans="1:1" x14ac:dyDescent="0.25">
      <c r="A336" s="1" t="str">
        <f t="shared" si="11"/>
        <v/>
      </c>
    </row>
    <row r="337" spans="1:1" x14ac:dyDescent="0.25">
      <c r="A337" s="1" t="str">
        <f t="shared" si="11"/>
        <v/>
      </c>
    </row>
    <row r="338" spans="1:1" x14ac:dyDescent="0.25">
      <c r="A338" s="1" t="str">
        <f t="shared" si="11"/>
        <v/>
      </c>
    </row>
    <row r="339" spans="1:1" x14ac:dyDescent="0.25">
      <c r="A339" s="1" t="str">
        <f t="shared" si="11"/>
        <v/>
      </c>
    </row>
    <row r="340" spans="1:1" x14ac:dyDescent="0.25">
      <c r="A340" s="1" t="str">
        <f t="shared" si="11"/>
        <v/>
      </c>
    </row>
    <row r="341" spans="1:1" x14ac:dyDescent="0.25">
      <c r="A341" s="1" t="str">
        <f t="shared" si="11"/>
        <v/>
      </c>
    </row>
    <row r="342" spans="1:1" x14ac:dyDescent="0.25">
      <c r="A342" s="1" t="str">
        <f t="shared" si="11"/>
        <v/>
      </c>
    </row>
    <row r="343" spans="1:1" x14ac:dyDescent="0.25">
      <c r="A343" s="1" t="str">
        <f t="shared" si="11"/>
        <v/>
      </c>
    </row>
    <row r="344" spans="1:1" x14ac:dyDescent="0.25">
      <c r="A344" s="1" t="str">
        <f t="shared" si="11"/>
        <v/>
      </c>
    </row>
    <row r="345" spans="1:1" x14ac:dyDescent="0.25">
      <c r="A345" s="1" t="str">
        <f t="shared" si="11"/>
        <v/>
      </c>
    </row>
    <row r="346" spans="1:1" x14ac:dyDescent="0.25">
      <c r="A346" s="1" t="str">
        <f t="shared" si="11"/>
        <v/>
      </c>
    </row>
    <row r="347" spans="1:1" x14ac:dyDescent="0.25">
      <c r="A347" s="1" t="str">
        <f t="shared" si="11"/>
        <v/>
      </c>
    </row>
    <row r="348" spans="1:1" x14ac:dyDescent="0.25">
      <c r="A348" s="1" t="str">
        <f t="shared" si="11"/>
        <v/>
      </c>
    </row>
    <row r="349" spans="1:1" x14ac:dyDescent="0.25">
      <c r="A349" s="1" t="str">
        <f t="shared" si="11"/>
        <v/>
      </c>
    </row>
    <row r="350" spans="1:1" x14ac:dyDescent="0.25">
      <c r="A350" s="1" t="str">
        <f t="shared" si="11"/>
        <v/>
      </c>
    </row>
    <row r="351" spans="1:1" x14ac:dyDescent="0.25">
      <c r="A351" s="1" t="str">
        <f t="shared" si="11"/>
        <v/>
      </c>
    </row>
    <row r="352" spans="1:1" x14ac:dyDescent="0.25">
      <c r="A352" s="1" t="str">
        <f t="shared" si="11"/>
        <v/>
      </c>
    </row>
    <row r="353" spans="1:1" x14ac:dyDescent="0.25">
      <c r="A353" s="1" t="str">
        <f t="shared" si="11"/>
        <v/>
      </c>
    </row>
    <row r="354" spans="1:1" x14ac:dyDescent="0.25">
      <c r="A354" s="1" t="str">
        <f t="shared" si="11"/>
        <v/>
      </c>
    </row>
    <row r="355" spans="1:1" x14ac:dyDescent="0.25">
      <c r="A355" s="1" t="str">
        <f t="shared" si="11"/>
        <v/>
      </c>
    </row>
    <row r="356" spans="1:1" x14ac:dyDescent="0.25">
      <c r="A356" s="1" t="str">
        <f t="shared" si="11"/>
        <v/>
      </c>
    </row>
    <row r="357" spans="1:1" x14ac:dyDescent="0.25">
      <c r="A357" s="1" t="str">
        <f t="shared" si="11"/>
        <v/>
      </c>
    </row>
    <row r="358" spans="1:1" x14ac:dyDescent="0.25">
      <c r="A358" s="1" t="str">
        <f t="shared" si="11"/>
        <v/>
      </c>
    </row>
    <row r="359" spans="1:1" x14ac:dyDescent="0.25">
      <c r="A359" s="1" t="str">
        <f t="shared" si="11"/>
        <v/>
      </c>
    </row>
    <row r="360" spans="1:1" x14ac:dyDescent="0.25">
      <c r="A360" s="1" t="str">
        <f t="shared" si="11"/>
        <v/>
      </c>
    </row>
    <row r="361" spans="1:1" x14ac:dyDescent="0.25">
      <c r="A361" s="1" t="str">
        <f t="shared" si="11"/>
        <v/>
      </c>
    </row>
    <row r="362" spans="1:1" x14ac:dyDescent="0.25">
      <c r="A362" s="1" t="str">
        <f t="shared" si="11"/>
        <v/>
      </c>
    </row>
    <row r="363" spans="1:1" x14ac:dyDescent="0.25">
      <c r="A363" s="1" t="str">
        <f t="shared" si="11"/>
        <v/>
      </c>
    </row>
    <row r="364" spans="1:1" x14ac:dyDescent="0.25">
      <c r="A364" s="1" t="str">
        <f t="shared" si="11"/>
        <v/>
      </c>
    </row>
    <row r="365" spans="1:1" x14ac:dyDescent="0.25">
      <c r="A365" s="1" t="str">
        <f t="shared" si="11"/>
        <v/>
      </c>
    </row>
    <row r="366" spans="1:1" x14ac:dyDescent="0.25">
      <c r="A366" s="1" t="str">
        <f t="shared" si="11"/>
        <v/>
      </c>
    </row>
    <row r="367" spans="1:1" x14ac:dyDescent="0.25">
      <c r="A367" s="1" t="str">
        <f t="shared" si="11"/>
        <v/>
      </c>
    </row>
    <row r="368" spans="1:1" x14ac:dyDescent="0.25">
      <c r="A368" s="1" t="str">
        <f t="shared" si="11"/>
        <v/>
      </c>
    </row>
    <row r="369" spans="1:1" x14ac:dyDescent="0.25">
      <c r="A369" s="1" t="str">
        <f t="shared" si="11"/>
        <v/>
      </c>
    </row>
    <row r="370" spans="1:1" x14ac:dyDescent="0.25">
      <c r="A370" s="1" t="str">
        <f t="shared" si="11"/>
        <v/>
      </c>
    </row>
    <row r="371" spans="1:1" x14ac:dyDescent="0.25">
      <c r="A371" s="1" t="str">
        <f t="shared" si="11"/>
        <v/>
      </c>
    </row>
    <row r="372" spans="1:1" x14ac:dyDescent="0.25">
      <c r="A372" s="1" t="str">
        <f t="shared" si="11"/>
        <v/>
      </c>
    </row>
    <row r="373" spans="1:1" x14ac:dyDescent="0.25">
      <c r="A373" s="1" t="str">
        <f t="shared" si="11"/>
        <v/>
      </c>
    </row>
    <row r="374" spans="1:1" x14ac:dyDescent="0.25">
      <c r="A374" s="1" t="str">
        <f t="shared" si="11"/>
        <v/>
      </c>
    </row>
    <row r="375" spans="1:1" x14ac:dyDescent="0.25">
      <c r="A375" s="1" t="str">
        <f t="shared" si="11"/>
        <v/>
      </c>
    </row>
    <row r="376" spans="1:1" x14ac:dyDescent="0.25">
      <c r="A376" s="1" t="str">
        <f t="shared" si="11"/>
        <v/>
      </c>
    </row>
    <row r="377" spans="1:1" x14ac:dyDescent="0.25">
      <c r="A377" s="1" t="str">
        <f t="shared" si="11"/>
        <v/>
      </c>
    </row>
    <row r="378" spans="1:1" x14ac:dyDescent="0.25">
      <c r="A378" s="1" t="str">
        <f t="shared" si="11"/>
        <v/>
      </c>
    </row>
    <row r="379" spans="1:1" x14ac:dyDescent="0.25">
      <c r="A379" s="1" t="str">
        <f t="shared" si="11"/>
        <v/>
      </c>
    </row>
    <row r="380" spans="1:1" x14ac:dyDescent="0.25">
      <c r="A380" s="1" t="str">
        <f t="shared" si="11"/>
        <v/>
      </c>
    </row>
    <row r="381" spans="1:1" x14ac:dyDescent="0.25">
      <c r="A381" s="1" t="str">
        <f t="shared" si="11"/>
        <v/>
      </c>
    </row>
    <row r="382" spans="1:1" x14ac:dyDescent="0.25">
      <c r="A382" s="1" t="str">
        <f t="shared" si="11"/>
        <v/>
      </c>
    </row>
    <row r="383" spans="1:1" x14ac:dyDescent="0.25">
      <c r="A383" s="1" t="str">
        <f t="shared" si="11"/>
        <v/>
      </c>
    </row>
    <row r="384" spans="1:1" x14ac:dyDescent="0.25">
      <c r="A384" s="1" t="str">
        <f t="shared" si="11"/>
        <v/>
      </c>
    </row>
    <row r="385" spans="1:1" x14ac:dyDescent="0.25">
      <c r="A385" s="1" t="str">
        <f t="shared" si="11"/>
        <v/>
      </c>
    </row>
    <row r="386" spans="1:1" x14ac:dyDescent="0.25">
      <c r="A386" s="1" t="str">
        <f t="shared" si="11"/>
        <v/>
      </c>
    </row>
    <row r="387" spans="1:1" x14ac:dyDescent="0.25">
      <c r="A387" s="1" t="str">
        <f t="shared" ref="A387:A447" si="12">B387&amp;C387</f>
        <v/>
      </c>
    </row>
    <row r="388" spans="1:1" x14ac:dyDescent="0.25">
      <c r="A388" s="1" t="str">
        <f t="shared" si="12"/>
        <v/>
      </c>
    </row>
    <row r="389" spans="1:1" x14ac:dyDescent="0.25">
      <c r="A389" s="1" t="str">
        <f t="shared" si="12"/>
        <v/>
      </c>
    </row>
    <row r="390" spans="1:1" x14ac:dyDescent="0.25">
      <c r="A390" s="1" t="str">
        <f t="shared" si="12"/>
        <v/>
      </c>
    </row>
    <row r="391" spans="1:1" x14ac:dyDescent="0.25">
      <c r="A391" s="1" t="str">
        <f t="shared" si="12"/>
        <v/>
      </c>
    </row>
    <row r="392" spans="1:1" x14ac:dyDescent="0.25">
      <c r="A392" s="1" t="str">
        <f t="shared" si="12"/>
        <v/>
      </c>
    </row>
    <row r="393" spans="1:1" x14ac:dyDescent="0.25">
      <c r="A393" s="1" t="str">
        <f t="shared" si="12"/>
        <v/>
      </c>
    </row>
    <row r="394" spans="1:1" x14ac:dyDescent="0.25">
      <c r="A394" s="1" t="str">
        <f t="shared" si="12"/>
        <v/>
      </c>
    </row>
    <row r="395" spans="1:1" x14ac:dyDescent="0.25">
      <c r="A395" s="1" t="str">
        <f t="shared" si="12"/>
        <v/>
      </c>
    </row>
    <row r="396" spans="1:1" x14ac:dyDescent="0.25">
      <c r="A396" s="1" t="str">
        <f t="shared" si="12"/>
        <v/>
      </c>
    </row>
    <row r="397" spans="1:1" x14ac:dyDescent="0.25">
      <c r="A397" s="1" t="str">
        <f t="shared" si="12"/>
        <v/>
      </c>
    </row>
    <row r="398" spans="1:1" x14ac:dyDescent="0.25">
      <c r="A398" s="1" t="str">
        <f t="shared" si="12"/>
        <v/>
      </c>
    </row>
    <row r="399" spans="1:1" x14ac:dyDescent="0.25">
      <c r="A399" s="1" t="str">
        <f t="shared" si="12"/>
        <v/>
      </c>
    </row>
    <row r="400" spans="1:1" x14ac:dyDescent="0.25">
      <c r="A400" s="1" t="str">
        <f t="shared" si="12"/>
        <v/>
      </c>
    </row>
    <row r="401" spans="1:1" x14ac:dyDescent="0.25">
      <c r="A401" s="1" t="str">
        <f t="shared" si="12"/>
        <v/>
      </c>
    </row>
    <row r="402" spans="1:1" x14ac:dyDescent="0.25">
      <c r="A402" s="1" t="str">
        <f t="shared" si="12"/>
        <v/>
      </c>
    </row>
    <row r="403" spans="1:1" x14ac:dyDescent="0.25">
      <c r="A403" s="1" t="str">
        <f t="shared" si="12"/>
        <v/>
      </c>
    </row>
    <row r="404" spans="1:1" x14ac:dyDescent="0.25">
      <c r="A404" s="1" t="str">
        <f t="shared" si="12"/>
        <v/>
      </c>
    </row>
    <row r="405" spans="1:1" x14ac:dyDescent="0.25">
      <c r="A405" s="1" t="str">
        <f t="shared" si="12"/>
        <v/>
      </c>
    </row>
    <row r="406" spans="1:1" x14ac:dyDescent="0.25">
      <c r="A406" s="1" t="str">
        <f t="shared" si="12"/>
        <v/>
      </c>
    </row>
    <row r="407" spans="1:1" x14ac:dyDescent="0.25">
      <c r="A407" s="1" t="str">
        <f t="shared" si="12"/>
        <v/>
      </c>
    </row>
    <row r="408" spans="1:1" x14ac:dyDescent="0.25">
      <c r="A408" s="1" t="str">
        <f t="shared" si="12"/>
        <v/>
      </c>
    </row>
    <row r="409" spans="1:1" x14ac:dyDescent="0.25">
      <c r="A409" s="1" t="str">
        <f t="shared" si="12"/>
        <v/>
      </c>
    </row>
    <row r="410" spans="1:1" x14ac:dyDescent="0.25">
      <c r="A410" s="1" t="str">
        <f t="shared" si="12"/>
        <v/>
      </c>
    </row>
    <row r="411" spans="1:1" x14ac:dyDescent="0.25">
      <c r="A411" s="1" t="str">
        <f t="shared" si="12"/>
        <v/>
      </c>
    </row>
    <row r="412" spans="1:1" x14ac:dyDescent="0.25">
      <c r="A412" s="1" t="str">
        <f t="shared" si="12"/>
        <v/>
      </c>
    </row>
    <row r="413" spans="1:1" x14ac:dyDescent="0.25">
      <c r="A413" s="1" t="str">
        <f t="shared" si="12"/>
        <v/>
      </c>
    </row>
    <row r="414" spans="1:1" x14ac:dyDescent="0.25">
      <c r="A414" s="1" t="str">
        <f t="shared" si="12"/>
        <v/>
      </c>
    </row>
    <row r="415" spans="1:1" x14ac:dyDescent="0.25">
      <c r="A415" s="1" t="str">
        <f t="shared" si="12"/>
        <v/>
      </c>
    </row>
    <row r="416" spans="1:1" x14ac:dyDescent="0.25">
      <c r="A416" s="1" t="str">
        <f t="shared" si="12"/>
        <v/>
      </c>
    </row>
    <row r="417" spans="1:1" x14ac:dyDescent="0.25">
      <c r="A417" s="1" t="str">
        <f t="shared" si="12"/>
        <v/>
      </c>
    </row>
    <row r="418" spans="1:1" x14ac:dyDescent="0.25">
      <c r="A418" s="1" t="str">
        <f t="shared" si="12"/>
        <v/>
      </c>
    </row>
    <row r="419" spans="1:1" x14ac:dyDescent="0.25">
      <c r="A419" s="1" t="str">
        <f t="shared" si="12"/>
        <v/>
      </c>
    </row>
    <row r="420" spans="1:1" x14ac:dyDescent="0.25">
      <c r="A420" s="1" t="str">
        <f t="shared" si="12"/>
        <v/>
      </c>
    </row>
    <row r="421" spans="1:1" x14ac:dyDescent="0.25">
      <c r="A421" s="1" t="str">
        <f t="shared" si="12"/>
        <v/>
      </c>
    </row>
    <row r="422" spans="1:1" x14ac:dyDescent="0.25">
      <c r="A422" s="1" t="str">
        <f t="shared" si="12"/>
        <v/>
      </c>
    </row>
    <row r="423" spans="1:1" x14ac:dyDescent="0.25">
      <c r="A423" s="1" t="str">
        <f t="shared" si="12"/>
        <v/>
      </c>
    </row>
    <row r="424" spans="1:1" x14ac:dyDescent="0.25">
      <c r="A424" s="1" t="str">
        <f t="shared" si="12"/>
        <v/>
      </c>
    </row>
    <row r="425" spans="1:1" x14ac:dyDescent="0.25">
      <c r="A425" s="1" t="str">
        <f t="shared" si="12"/>
        <v/>
      </c>
    </row>
    <row r="426" spans="1:1" x14ac:dyDescent="0.25">
      <c r="A426" s="1" t="str">
        <f t="shared" si="12"/>
        <v/>
      </c>
    </row>
    <row r="427" spans="1:1" x14ac:dyDescent="0.25">
      <c r="A427" s="1" t="str">
        <f t="shared" si="12"/>
        <v/>
      </c>
    </row>
    <row r="428" spans="1:1" x14ac:dyDescent="0.25">
      <c r="A428" s="1" t="str">
        <f t="shared" si="12"/>
        <v/>
      </c>
    </row>
    <row r="429" spans="1:1" x14ac:dyDescent="0.25">
      <c r="A429" s="1" t="str">
        <f t="shared" si="12"/>
        <v/>
      </c>
    </row>
    <row r="430" spans="1:1" x14ac:dyDescent="0.25">
      <c r="A430" s="1" t="str">
        <f t="shared" si="12"/>
        <v/>
      </c>
    </row>
    <row r="431" spans="1:1" x14ac:dyDescent="0.25">
      <c r="A431" s="1" t="str">
        <f t="shared" si="12"/>
        <v/>
      </c>
    </row>
    <row r="432" spans="1:1" x14ac:dyDescent="0.25">
      <c r="A432" s="1" t="str">
        <f t="shared" si="12"/>
        <v/>
      </c>
    </row>
    <row r="433" spans="1:1" x14ac:dyDescent="0.25">
      <c r="A433" s="1" t="str">
        <f t="shared" si="12"/>
        <v/>
      </c>
    </row>
    <row r="434" spans="1:1" x14ac:dyDescent="0.25">
      <c r="A434" s="1" t="str">
        <f t="shared" si="12"/>
        <v/>
      </c>
    </row>
    <row r="435" spans="1:1" x14ac:dyDescent="0.25">
      <c r="A435" s="1" t="str">
        <f t="shared" si="12"/>
        <v/>
      </c>
    </row>
    <row r="436" spans="1:1" x14ac:dyDescent="0.25">
      <c r="A436" s="1" t="str">
        <f t="shared" si="12"/>
        <v/>
      </c>
    </row>
    <row r="437" spans="1:1" x14ac:dyDescent="0.25">
      <c r="A437" s="1" t="str">
        <f t="shared" si="12"/>
        <v/>
      </c>
    </row>
    <row r="438" spans="1:1" x14ac:dyDescent="0.25">
      <c r="A438" s="1" t="str">
        <f t="shared" si="12"/>
        <v/>
      </c>
    </row>
    <row r="439" spans="1:1" x14ac:dyDescent="0.25">
      <c r="A439" s="1" t="str">
        <f t="shared" si="12"/>
        <v/>
      </c>
    </row>
    <row r="440" spans="1:1" x14ac:dyDescent="0.25">
      <c r="A440" s="1" t="str">
        <f t="shared" si="12"/>
        <v/>
      </c>
    </row>
    <row r="441" spans="1:1" x14ac:dyDescent="0.25">
      <c r="A441" s="1" t="str">
        <f t="shared" si="12"/>
        <v/>
      </c>
    </row>
    <row r="442" spans="1:1" x14ac:dyDescent="0.25">
      <c r="A442" s="1" t="str">
        <f t="shared" si="12"/>
        <v/>
      </c>
    </row>
    <row r="443" spans="1:1" x14ac:dyDescent="0.25">
      <c r="A443" s="1" t="str">
        <f t="shared" si="12"/>
        <v/>
      </c>
    </row>
    <row r="444" spans="1:1" x14ac:dyDescent="0.25">
      <c r="A444" s="1" t="str">
        <f t="shared" si="12"/>
        <v/>
      </c>
    </row>
    <row r="445" spans="1:1" x14ac:dyDescent="0.25">
      <c r="A445" s="1" t="str">
        <f t="shared" si="12"/>
        <v/>
      </c>
    </row>
    <row r="446" spans="1:1" x14ac:dyDescent="0.25">
      <c r="A446" s="1" t="str">
        <f t="shared" si="12"/>
        <v/>
      </c>
    </row>
    <row r="447" spans="1:1" x14ac:dyDescent="0.25">
      <c r="A447" s="1" t="str">
        <f t="shared" si="12"/>
        <v/>
      </c>
    </row>
  </sheetData>
  <sortState xmlns:xlrd2="http://schemas.microsoft.com/office/spreadsheetml/2017/richdata2" ref="G2:M28">
    <sortCondition descending="1" ref="H2:H28"/>
  </sortState>
  <pageMargins left="0.7" right="0.7" top="0.75" bottom="0.75" header="0.3" footer="0.3"/>
  <headerFooter>
    <oddFooter>&amp;C_x000D_&amp;1#&amp;"Calibri"&amp;10&amp;K0000FF Restricted Use - À usage restreint</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32BF4-00C5-4749-B186-B229010D5AE2}">
  <sheetPr>
    <tabColor rgb="FF00B050"/>
  </sheetPr>
  <dimension ref="A1:F28"/>
  <sheetViews>
    <sheetView workbookViewId="0">
      <selection activeCell="J9" sqref="J9"/>
    </sheetView>
  </sheetViews>
  <sheetFormatPr defaultColWidth="8.7109375" defaultRowHeight="15" x14ac:dyDescent="0.25"/>
  <cols>
    <col min="1" max="16384" width="8.7109375" style="1"/>
  </cols>
  <sheetData>
    <row r="1" spans="1:6" x14ac:dyDescent="0.25">
      <c r="A1" s="1" t="s">
        <v>0</v>
      </c>
      <c r="B1" s="1" t="s">
        <v>1</v>
      </c>
      <c r="C1" s="1" t="s">
        <v>2</v>
      </c>
      <c r="E1" s="1" t="s">
        <v>0</v>
      </c>
      <c r="F1" s="1" t="s">
        <v>2</v>
      </c>
    </row>
    <row r="2" spans="1:6" x14ac:dyDescent="0.25">
      <c r="A2" s="1" t="s">
        <v>3</v>
      </c>
      <c r="B2" s="2">
        <v>1026</v>
      </c>
      <c r="C2" s="2">
        <v>0.59831559658050537</v>
      </c>
      <c r="E2" s="1" t="s">
        <v>4</v>
      </c>
      <c r="F2" s="2">
        <v>0.79403132200241089</v>
      </c>
    </row>
    <row r="3" spans="1:6" x14ac:dyDescent="0.25">
      <c r="A3" s="1" t="s">
        <v>5</v>
      </c>
      <c r="B3" s="2">
        <v>1001</v>
      </c>
      <c r="C3" s="2">
        <v>0.37185800075531006</v>
      </c>
      <c r="E3" s="1" t="s">
        <v>18</v>
      </c>
      <c r="F3" s="2">
        <v>0.79196733236312866</v>
      </c>
    </row>
    <row r="4" spans="1:6" x14ac:dyDescent="0.25">
      <c r="A4" s="1" t="s">
        <v>7</v>
      </c>
      <c r="B4" s="2">
        <v>1003</v>
      </c>
      <c r="C4" s="2">
        <v>0.58740103244781494</v>
      </c>
      <c r="E4" s="1" t="s">
        <v>8</v>
      </c>
      <c r="F4" s="2">
        <v>0.78510391712188721</v>
      </c>
    </row>
    <row r="5" spans="1:6" x14ac:dyDescent="0.25">
      <c r="A5" s="1" t="s">
        <v>9</v>
      </c>
      <c r="B5" s="2">
        <v>999</v>
      </c>
      <c r="C5" s="2">
        <v>0.50952589511871338</v>
      </c>
      <c r="E5" s="1" t="s">
        <v>10</v>
      </c>
      <c r="F5" s="2">
        <v>0.74873864650726318</v>
      </c>
    </row>
    <row r="6" spans="1:6" x14ac:dyDescent="0.25">
      <c r="A6" s="1" t="s">
        <v>4</v>
      </c>
      <c r="B6" s="2">
        <v>1004</v>
      </c>
      <c r="C6" s="2">
        <v>0.79403132200241089</v>
      </c>
      <c r="E6" s="1" t="s">
        <v>11</v>
      </c>
      <c r="F6" s="2">
        <v>0.71079921722412109</v>
      </c>
    </row>
    <row r="7" spans="1:6" x14ac:dyDescent="0.25">
      <c r="A7" s="1" t="s">
        <v>12</v>
      </c>
      <c r="B7" s="2">
        <v>1009</v>
      </c>
      <c r="C7" s="2">
        <v>0.55291306972503662</v>
      </c>
      <c r="E7" s="1" t="s">
        <v>13</v>
      </c>
      <c r="F7" s="2">
        <v>0.67746710777282715</v>
      </c>
    </row>
    <row r="8" spans="1:6" x14ac:dyDescent="0.25">
      <c r="A8" s="1" t="s">
        <v>14</v>
      </c>
      <c r="B8" s="2">
        <v>1005</v>
      </c>
      <c r="C8" s="2">
        <v>0.27432793378829956</v>
      </c>
      <c r="E8" s="1" t="s">
        <v>24</v>
      </c>
      <c r="F8" s="2">
        <v>0.65558159351348877</v>
      </c>
    </row>
    <row r="9" spans="1:6" x14ac:dyDescent="0.25">
      <c r="A9" s="1" t="s">
        <v>6</v>
      </c>
      <c r="B9" s="2">
        <v>1020</v>
      </c>
      <c r="C9" s="2">
        <v>0.61141669750213623</v>
      </c>
      <c r="E9" s="1" t="s">
        <v>23</v>
      </c>
      <c r="F9" s="2">
        <v>0.64431357383728027</v>
      </c>
    </row>
    <row r="10" spans="1:6" x14ac:dyDescent="0.25">
      <c r="A10" s="1" t="s">
        <v>17</v>
      </c>
      <c r="B10" s="2">
        <v>1025</v>
      </c>
      <c r="C10" s="2">
        <v>0.53684502840042114</v>
      </c>
      <c r="E10" s="1" t="s">
        <v>27</v>
      </c>
      <c r="F10" s="2">
        <v>0.61750775575637817</v>
      </c>
    </row>
    <row r="11" spans="1:6" x14ac:dyDescent="0.25">
      <c r="A11" s="1" t="s">
        <v>19</v>
      </c>
      <c r="B11" s="2">
        <v>1028</v>
      </c>
      <c r="C11" s="2">
        <v>0.34296151995658875</v>
      </c>
      <c r="E11" s="1" t="s">
        <v>6</v>
      </c>
      <c r="F11" s="2">
        <v>0.61141669750213623</v>
      </c>
    </row>
    <row r="12" spans="1:6" x14ac:dyDescent="0.25">
      <c r="A12" s="1" t="s">
        <v>21</v>
      </c>
      <c r="B12" s="2">
        <v>1019</v>
      </c>
      <c r="C12" s="2">
        <v>0.39401832222938538</v>
      </c>
      <c r="E12" s="1" t="s">
        <v>20</v>
      </c>
      <c r="F12" s="2">
        <v>0.61109042167663574</v>
      </c>
    </row>
    <row r="13" spans="1:6" x14ac:dyDescent="0.25">
      <c r="A13" s="1" t="s">
        <v>22</v>
      </c>
      <c r="B13" s="2">
        <v>1037</v>
      </c>
      <c r="C13" s="2">
        <v>0.51699405908584595</v>
      </c>
      <c r="E13" s="1" t="s">
        <v>29</v>
      </c>
      <c r="F13" s="2">
        <v>0.60969942808151245</v>
      </c>
    </row>
    <row r="14" spans="1:6" x14ac:dyDescent="0.25">
      <c r="A14" s="1" t="s">
        <v>10</v>
      </c>
      <c r="B14" s="2">
        <v>1012</v>
      </c>
      <c r="C14" s="2">
        <v>0.74873864650726318</v>
      </c>
      <c r="E14" s="1" t="s">
        <v>3</v>
      </c>
      <c r="F14" s="2">
        <v>0.59831559658050537</v>
      </c>
    </row>
    <row r="15" spans="1:6" x14ac:dyDescent="0.25">
      <c r="A15" s="1" t="s">
        <v>24</v>
      </c>
      <c r="B15" s="2">
        <v>1011</v>
      </c>
      <c r="C15" s="2">
        <v>0.65558159351348877</v>
      </c>
      <c r="E15" s="1" t="s">
        <v>7</v>
      </c>
      <c r="F15" s="2">
        <v>0.58740103244781494</v>
      </c>
    </row>
    <row r="16" spans="1:6" x14ac:dyDescent="0.25">
      <c r="A16" s="1" t="s">
        <v>18</v>
      </c>
      <c r="B16" s="2">
        <v>1023</v>
      </c>
      <c r="C16" s="2">
        <v>0.79196733236312866</v>
      </c>
      <c r="E16" s="1" t="s">
        <v>12</v>
      </c>
      <c r="F16" s="2">
        <v>0.55291306972503662</v>
      </c>
    </row>
    <row r="17" spans="1:6" x14ac:dyDescent="0.25">
      <c r="A17" s="1" t="s">
        <v>23</v>
      </c>
      <c r="B17" s="2">
        <v>1018</v>
      </c>
      <c r="C17" s="2">
        <v>0.64431357383728027</v>
      </c>
      <c r="E17" s="1" t="s">
        <v>26</v>
      </c>
      <c r="F17" s="2">
        <v>0.55220401287078857</v>
      </c>
    </row>
    <row r="18" spans="1:6" x14ac:dyDescent="0.25">
      <c r="A18" s="1" t="s">
        <v>16</v>
      </c>
      <c r="B18" s="2">
        <v>997</v>
      </c>
      <c r="C18" s="2">
        <v>0.53910475969314575</v>
      </c>
      <c r="E18" s="1" t="s">
        <v>16</v>
      </c>
      <c r="F18" s="2">
        <v>0.53910475969314575</v>
      </c>
    </row>
    <row r="19" spans="1:6" x14ac:dyDescent="0.25">
      <c r="A19" s="1" t="s">
        <v>20</v>
      </c>
      <c r="B19" s="2">
        <v>1023</v>
      </c>
      <c r="C19" s="2">
        <v>0.61109042167663574</v>
      </c>
      <c r="E19" s="1" t="s">
        <v>17</v>
      </c>
      <c r="F19" s="2">
        <v>0.53684502840042114</v>
      </c>
    </row>
    <row r="20" spans="1:6" x14ac:dyDescent="0.25">
      <c r="A20" s="1" t="s">
        <v>15</v>
      </c>
      <c r="B20" s="2">
        <v>1023</v>
      </c>
      <c r="C20" s="2">
        <v>0.49999859929084778</v>
      </c>
      <c r="E20" s="1" t="s">
        <v>22</v>
      </c>
      <c r="F20" s="2">
        <v>0.51699405908584595</v>
      </c>
    </row>
    <row r="21" spans="1:6" x14ac:dyDescent="0.25">
      <c r="A21" s="1" t="s">
        <v>8</v>
      </c>
      <c r="B21" s="2">
        <v>1021</v>
      </c>
      <c r="C21" s="2">
        <v>0.78510391712188721</v>
      </c>
      <c r="E21" s="1" t="s">
        <v>25</v>
      </c>
      <c r="F21" s="2">
        <v>0.51316344738006592</v>
      </c>
    </row>
    <row r="22" spans="1:6" x14ac:dyDescent="0.25">
      <c r="A22" s="1" t="s">
        <v>26</v>
      </c>
      <c r="B22" s="2">
        <v>1007</v>
      </c>
      <c r="C22" s="2">
        <v>0.55220401287078857</v>
      </c>
      <c r="E22" s="1" t="s">
        <v>9</v>
      </c>
      <c r="F22" s="2">
        <v>0.50952589511871338</v>
      </c>
    </row>
    <row r="23" spans="1:6" x14ac:dyDescent="0.25">
      <c r="A23" s="1" t="s">
        <v>28</v>
      </c>
      <c r="B23" s="2">
        <v>1011</v>
      </c>
      <c r="C23" s="2">
        <v>0.43416464328765869</v>
      </c>
      <c r="E23" s="1" t="s">
        <v>15</v>
      </c>
      <c r="F23" s="2">
        <v>0.49999859929084778</v>
      </c>
    </row>
    <row r="24" spans="1:6" x14ac:dyDescent="0.25">
      <c r="A24" s="1" t="s">
        <v>29</v>
      </c>
      <c r="B24" s="2">
        <v>1053</v>
      </c>
      <c r="C24" s="2">
        <v>0.60969942808151245</v>
      </c>
      <c r="E24" s="1" t="s">
        <v>28</v>
      </c>
      <c r="F24" s="2">
        <v>0.43416464328765869</v>
      </c>
    </row>
    <row r="25" spans="1:6" x14ac:dyDescent="0.25">
      <c r="A25" s="1" t="s">
        <v>13</v>
      </c>
      <c r="B25" s="2">
        <v>1016</v>
      </c>
      <c r="C25" s="2">
        <v>0.67746710777282715</v>
      </c>
      <c r="E25" s="1" t="s">
        <v>21</v>
      </c>
      <c r="F25" s="2">
        <v>0.39401832222938538</v>
      </c>
    </row>
    <row r="26" spans="1:6" x14ac:dyDescent="0.25">
      <c r="A26" s="1" t="s">
        <v>27</v>
      </c>
      <c r="B26" s="2">
        <v>1006</v>
      </c>
      <c r="C26" s="2">
        <v>0.61750775575637817</v>
      </c>
      <c r="E26" s="1" t="s">
        <v>5</v>
      </c>
      <c r="F26" s="2">
        <v>0.37185800075531006</v>
      </c>
    </row>
    <row r="27" spans="1:6" x14ac:dyDescent="0.25">
      <c r="A27" s="1" t="s">
        <v>11</v>
      </c>
      <c r="B27" s="2">
        <v>1024</v>
      </c>
      <c r="C27" s="2">
        <v>0.71079921722412109</v>
      </c>
      <c r="E27" s="1" t="s">
        <v>19</v>
      </c>
      <c r="F27" s="2">
        <v>0.34296151995658875</v>
      </c>
    </row>
    <row r="28" spans="1:6" x14ac:dyDescent="0.25">
      <c r="A28" s="1" t="s">
        <v>25</v>
      </c>
      <c r="B28" s="2">
        <v>1048</v>
      </c>
      <c r="C28" s="2">
        <v>0.51316344738006592</v>
      </c>
      <c r="E28" s="1" t="s">
        <v>14</v>
      </c>
      <c r="F28" s="2">
        <v>0.27432793378829956</v>
      </c>
    </row>
  </sheetData>
  <pageMargins left="0.7" right="0.7" top="0.75" bottom="0.75" header="0.3" footer="0.3"/>
  <headerFooter>
    <oddFooter>&amp;C_x000D_&amp;1#&amp;"Calibri"&amp;10&amp;K0000FF Restricted Use - À usage restreint</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OECDListFormCollapsible</Display>
  <Edit>OECDListFormCollapsible</Edit>
  <New>OECDListFormCollapsible</New>
</FormTemplates>
</file>

<file path=customXml/item2.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KimBussinessContext xmlns="54c4cd27-f286-408f-9ce0-33c1e0f3ab39" xsi:nil="true"/>
    <OECDProjectMembers xmlns="22a5b7d0-1699-458f-b8e2-4d8247229549">
      <UserInfo>
        <DisplayName>FRON Pauline, ELS/SPD</DisplayName>
        <AccountId>219</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CTP/COM</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DisplayName>
        <AccountId>4856</AccountId>
        <AccountType/>
      </UserInfo>
      <UserInfo>
        <DisplayName>MENDÍA Santiago, ELS/SPD</DisplayName>
        <AccountId>5416</AccountId>
        <AccountType/>
      </UserInfo>
      <UserInfo>
        <DisplayName>ELKURD Marie-Aurélie, ELS/SPD</DisplayName>
        <AccountId>5937</AccountId>
        <AccountType/>
      </UserInfo>
      <UserInfo>
        <DisplayName>KANG Harman, ELS/SPD</DisplayName>
        <AccountId>6481</AccountId>
        <AccountType/>
      </UserInfo>
    </OECDProjectMembers>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language xmlns="ca82dde9-3436-4d3d-bddd-d31447390034">English</OECDlanguage>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KimProvenance xmlns="54c4cd27-f286-408f-9ce0-33c1e0f3ab39" xsi:nil="true"/>
    <OECDPinnedBy xmlns="22a5b7d0-1699-458f-b8e2-4d8247229549">
      <UserInfo>
        <DisplayName/>
        <AccountId xsi:nil="true"/>
        <AccountType/>
      </UserInfo>
    </OECDPinnedBy>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4.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5.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Props1.xml><?xml version="1.0" encoding="utf-8"?>
<ds:datastoreItem xmlns:ds="http://schemas.openxmlformats.org/officeDocument/2006/customXml" ds:itemID="{E45FAEA7-1BC2-44FA-903F-CE36DF477C67}">
  <ds:schemaRefs>
    <ds:schemaRef ds:uri="http://schemas.microsoft.com/sharepoint/v3/contenttype/forms"/>
  </ds:schemaRefs>
</ds:datastoreItem>
</file>

<file path=customXml/itemProps2.xml><?xml version="1.0" encoding="utf-8"?>
<ds:datastoreItem xmlns:ds="http://schemas.openxmlformats.org/officeDocument/2006/customXml" ds:itemID="{5A707378-121E-457E-B0DE-AA72222178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E62992F-AB22-4B28-B5F5-4D98ED8F3FD9}">
  <ds:schemaRefs>
    <ds:schemaRef ds:uri="22a5b7d0-1699-458f-b8e2-4d8247229549"/>
    <ds:schemaRef ds:uri="ca82dde9-3436-4d3d-bddd-d31447390034"/>
    <ds:schemaRef ds:uri="http://purl.org/dc/elements/1.1/"/>
    <ds:schemaRef ds:uri="http://purl.org/dc/terms/"/>
    <ds:schemaRef ds:uri="http://schemas.microsoft.com/office/2006/documentManagement/types"/>
    <ds:schemaRef ds:uri="http://www.w3.org/XML/1998/namespace"/>
    <ds:schemaRef ds:uri="c5805097-db0a-42f9-a837-be9035f1f571"/>
    <ds:schemaRef ds:uri="http://purl.org/dc/dcmitype/"/>
    <ds:schemaRef ds:uri="http://schemas.microsoft.com/sharepoint/v4"/>
    <ds:schemaRef ds:uri="http://schemas.microsoft.com/office/2006/metadata/properties"/>
    <ds:schemaRef ds:uri="http://schemas.microsoft.com/office/infopath/2007/PartnerControls"/>
    <ds:schemaRef ds:uri="http://schemas.openxmlformats.org/package/2006/metadata/core-properties"/>
    <ds:schemaRef ds:uri="c9f238dd-bb73-4aef-a7a5-d644ad823e52"/>
    <ds:schemaRef ds:uri="54c4cd27-f286-408f-9ce0-33c1e0f3ab39"/>
  </ds:schemaRefs>
</ds:datastoreItem>
</file>

<file path=customXml/itemProps4.xml><?xml version="1.0" encoding="utf-8"?>
<ds:datastoreItem xmlns:ds="http://schemas.openxmlformats.org/officeDocument/2006/customXml" ds:itemID="{EE8C75A5-B566-4ED5-992A-546C04ECECE0}">
  <ds:schemaRefs>
    <ds:schemaRef ds:uri="http://www.oecd.org/eshare/projectsentre/CtFieldPriority/"/>
    <ds:schemaRef ds:uri="http://schemas.microsoft.com/2003/10/Serialization/Arrays"/>
  </ds:schemaRefs>
</ds:datastoreItem>
</file>

<file path=customXml/itemProps5.xml><?xml version="1.0" encoding="utf-8"?>
<ds:datastoreItem xmlns:ds="http://schemas.openxmlformats.org/officeDocument/2006/customXml" ds:itemID="{056853A9-CC48-47C2-A71C-C73BEF9B7AD3}">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HC1.4.1</vt:lpstr>
      <vt:lpstr>HC1.4.2</vt:lpstr>
      <vt:lpstr>HC1.4.3</vt:lpstr>
      <vt:lpstr>HC1.4.4</vt:lpstr>
      <vt:lpstr>HC1.4.5</vt:lpstr>
      <vt:lpstr>HC1.4.6</vt:lpstr>
      <vt:lpstr>q3f_age</vt:lpstr>
      <vt:lpstr>q18f_overall</vt:lpstr>
      <vt:lpstr>HC1.4.2!Print_Area</vt:lpstr>
      <vt:lpstr>HC1.4.3!Print_Area</vt:lpstr>
      <vt:lpstr>HC1.4.4!Print_Area</vt:lpstr>
      <vt:lpstr>HC1.4.6!Print_Area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LLOYD Alexandre, ELS/SPD</dc:creator>
  <cp:lastModifiedBy>LLOYD Alexandre, ELS</cp:lastModifiedBy>
  <dcterms:created xsi:type="dcterms:W3CDTF">2024-01-30T13:31:23Z</dcterms:created>
  <dcterms:modified xsi:type="dcterms:W3CDTF">2025-10-06T08:18:22Z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OECDTopic">
    <vt:lpwstr/>
  </property>
  <property fmtid="{D5CDD505-2E9C-101B-9397-08002B2CF9AE}" pid="4" name="OECDCommittee">
    <vt:lpwstr/>
  </property>
  <property fmtid="{D5CDD505-2E9C-101B-9397-08002B2CF9AE}" pid="5" name="OECDPWB">
    <vt:lpwstr>6;#(n/a)|3adabb5f-45b7-4a20-bdde-219e8d9477af</vt:lpwstr>
  </property>
  <property fmtid="{D5CDD505-2E9C-101B-9397-08002B2CF9AE}" pid="6" name="OECDKeywords">
    <vt:lpwstr/>
  </property>
  <property fmtid="{D5CDD505-2E9C-101B-9397-08002B2CF9AE}" pid="7" name="OECDHorizontalProjects">
    <vt:lpwstr/>
  </property>
  <property fmtid="{D5CDD505-2E9C-101B-9397-08002B2CF9AE}" pid="8" name="OECDProjectOwnerStructure">
    <vt:lpwstr>49;#ELS/SPD|0e85e649-01ae-435c-b5a2-39c5f49851ef</vt:lpwstr>
  </property>
  <property fmtid="{D5CDD505-2E9C-101B-9397-08002B2CF9AE}" pid="9" name="OECDCountry">
    <vt:lpwstr/>
  </property>
  <property fmtid="{D5CDD505-2E9C-101B-9397-08002B2CF9AE}" pid="10" name="eShareOrganisationTaxHTField0">
    <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2024-06-27T15:49:14Z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92f6fe03-cb27-431c-876c-08f1f326756c</vt:lpwstr>
  </property>
  <property fmtid="{D5CDD505-2E9C-101B-9397-08002B2CF9AE}" pid="19" name="MSIP_Label_0e5510b0-e729-4ef0-a3dd-4ba0dfe56c99_ContentBits">
    <vt:lpwstr>2</vt:lpwstr>
  </property>
</Properties>
</file>